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E91D3D6D-A256-499A-B01A-8DB45080D53A}" xr6:coauthVersionLast="45" xr6:coauthVersionMax="45" xr10:uidLastSave="{00000000-0000-0000-0000-000000000000}"/>
  <bookViews>
    <workbookView xWindow="-120" yWindow="-120" windowWidth="20730" windowHeight="11160" activeTab="2" xr2:uid="{00000000-000D-0000-FFFF-FFFF00000000}"/>
  </bookViews>
  <sheets>
    <sheet name="Raw_Data" sheetId="1" r:id="rId1"/>
    <sheet name="pivot table" sheetId="6" r:id="rId2"/>
    <sheet name="Dashboard" sheetId="7" r:id="rId3"/>
  </sheets>
  <definedNames>
    <definedName name="Slicer_Category">#N/A</definedName>
    <definedName name="Slicer_Product">#N/A</definedName>
    <definedName name="Slicer_Region">#N/A</definedName>
  </definedNames>
  <calcPr calcId="191029"/>
  <pivotCaches>
    <pivotCache cacheId="2"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K2" i="1" l="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alcChain>
</file>

<file path=xl/sharedStrings.xml><?xml version="1.0" encoding="utf-8"?>
<sst xmlns="http://schemas.openxmlformats.org/spreadsheetml/2006/main" count="171" uniqueCount="71">
  <si>
    <t>Date</t>
  </si>
  <si>
    <t>Order_ID</t>
  </si>
  <si>
    <t>Product</t>
  </si>
  <si>
    <t>Category</t>
  </si>
  <si>
    <t>Region</t>
  </si>
  <si>
    <t>Quantity</t>
  </si>
  <si>
    <t>Unit_Price</t>
  </si>
  <si>
    <t>Cost_Price</t>
  </si>
  <si>
    <t>ORD1001</t>
  </si>
  <si>
    <t>Apple</t>
  </si>
  <si>
    <t>Fruits</t>
  </si>
  <si>
    <t>South</t>
  </si>
  <si>
    <t>ORD1002</t>
  </si>
  <si>
    <t>Banana</t>
  </si>
  <si>
    <t>North</t>
  </si>
  <si>
    <t>ORD1003</t>
  </si>
  <si>
    <t>Milk</t>
  </si>
  <si>
    <t>Dairy</t>
  </si>
  <si>
    <t>East</t>
  </si>
  <si>
    <t>ORD1004</t>
  </si>
  <si>
    <t>Bread</t>
  </si>
  <si>
    <t>Bakery</t>
  </si>
  <si>
    <t>West</t>
  </si>
  <si>
    <t>ORD1005</t>
  </si>
  <si>
    <t>Rice</t>
  </si>
  <si>
    <t>Grocery</t>
  </si>
  <si>
    <t>ORD1006</t>
  </si>
  <si>
    <t>Oil</t>
  </si>
  <si>
    <t>ORD1007</t>
  </si>
  <si>
    <t>Cheese</t>
  </si>
  <si>
    <t>ORD1008</t>
  </si>
  <si>
    <t>Cake</t>
  </si>
  <si>
    <t>ORD1009</t>
  </si>
  <si>
    <t>Orange</t>
  </si>
  <si>
    <t>ORD1010</t>
  </si>
  <si>
    <t>Yogurt</t>
  </si>
  <si>
    <t>ORD1011</t>
  </si>
  <si>
    <t>Wheat</t>
  </si>
  <si>
    <t>ORD1012</t>
  </si>
  <si>
    <t>Butter</t>
  </si>
  <si>
    <t>ORD1013</t>
  </si>
  <si>
    <t>Mango</t>
  </si>
  <si>
    <t>ORD1014</t>
  </si>
  <si>
    <t>Biscuits</t>
  </si>
  <si>
    <t>ORD1015</t>
  </si>
  <si>
    <t>Sugar</t>
  </si>
  <si>
    <t>ORD1016</t>
  </si>
  <si>
    <t>Ice Cream</t>
  </si>
  <si>
    <t>ORD1017</t>
  </si>
  <si>
    <t>Grapes</t>
  </si>
  <si>
    <t>ORD1018</t>
  </si>
  <si>
    <t>ORD1019</t>
  </si>
  <si>
    <t>ORD1020</t>
  </si>
  <si>
    <t>ORD1021</t>
  </si>
  <si>
    <t>ORD1022</t>
  </si>
  <si>
    <t>ORD1023</t>
  </si>
  <si>
    <t>ORD1024</t>
  </si>
  <si>
    <t>ORD1025</t>
  </si>
  <si>
    <t>ORD1026</t>
  </si>
  <si>
    <t>ORD1027</t>
  </si>
  <si>
    <t>ORD1028</t>
  </si>
  <si>
    <t>ORD1029</t>
  </si>
  <si>
    <t>ORD1030</t>
  </si>
  <si>
    <t>Revenue</t>
  </si>
  <si>
    <t>Cost</t>
  </si>
  <si>
    <t>Profit</t>
  </si>
  <si>
    <t>Row Labels</t>
  </si>
  <si>
    <t>Grand Total</t>
  </si>
  <si>
    <t>Sum of Revenue</t>
  </si>
  <si>
    <t>Jan</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</si>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</sst>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left"/>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cellXfs>
  <cellStyles count="1">
    <cellStyle name="Normal" xfId="0" builtinId="0"/>
  </cellStyles>
  <dxfs count="4">
    <dxf>
      <numFmt numFmtId="0" formatCode="General"/>
    </dxf>
    <dxf>
      <numFmt numFmtId="0" formatCode="General"/>
    </dxf>
    <dxf>
      <numFmt numFmtId="0" formatCode="General"/>
    </dxf>
    <dxf>
      <numFmt numFmtId="19" formatCode="dd/mm/yyyy"/>
    </dxf>
  </dxfs>
  <tableStyles count="0" defaultTableStyle="TableStyleMedium9" defaultPivotStyle="PivotStyleLight16"/>
  <colors>
    <mruColors>
      <color rgb="FFE04A2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[Retail_Sales_Excel_Project_Data.xlsx]pivot table!PivotTable4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table'!$A$4:$A$5</c:f>
              <c:strCache>
                <c:ptCount val="1"/>
                <c:pt idx="0">
                  <c:v>Jan</c:v>
                </c:pt>
              </c:strCache>
            </c:strRef>
          </c:cat>
          <c:val>
            <c:numRef>
              <c:f>'pivot table'!$B$4:$B$5</c:f>
              <c:numCache>
                <c:formatCode>General</c:formatCode>
                <c:ptCount val="1"/>
                <c:pt idx="0">
                  <c:v>33568</c:v>
                </c:pt>
              </c:numCache>
            </c:numRef>
          </c:val>
          <c:extLst>
            <c:ext xmlns:c16="http://schemas.microsoft.com/office/drawing/2014/chart" uri="{C3380CC4-5D6E-409C-BE32-E72D297353CC}">
              <c16:uniqueId val="{00000000-A4FF-4242-A087-EC2E04DEDF43}"/>
            </c:ext>
          </c:extLst>
        </c:ser>
        <c:dLbls>
          <c:showLegendKey val="0"/>
          <c:showVal val="0"/>
          <c:showCatName val="0"/>
          <c:showSerName val="0"/>
          <c:showPercent val="0"/>
          <c:showBubbleSize val="0"/>
        </c:dLbls>
        <c:gapWidth val="219"/>
        <c:overlap val="-27"/>
        <c:axId val="408324216"/>
        <c:axId val="408325856"/>
      </c:barChart>
      <c:catAx>
        <c:axId val="4083242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325856"/>
        <c:crosses val="autoZero"/>
        <c:auto val="1"/>
        <c:lblAlgn val="ctr"/>
        <c:lblOffset val="100"/>
        <c:noMultiLvlLbl val="0"/>
      </c:catAx>
      <c:valAx>
        <c:axId val="40832585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324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[Retail_Sales_Excel_Project_Data.xlsx]pivot table!PivotTable6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table'!$E$3</c:f>
              <c:strCache>
                <c:ptCount val="1"/>
                <c:pt idx="0">
                  <c:v>Sum of Revenue</c:v>
                </c:pt>
              </c:strCache>
            </c:strRef>
          </c:tx>
          <c:spPr>
            <a:solidFill>
              <a:schemeClr val="accent1"/>
            </a:solidFill>
            <a:ln>
              <a:noFill/>
            </a:ln>
            <a:effectLst/>
          </c:spPr>
          <c:invertIfNegative val="0"/>
          <c:cat>
            <c:strRef>
              <c:f>'pivot table'!$D$4:$D$21</c:f>
              <c:strCache>
                <c:ptCount val="17"/>
                <c:pt idx="0">
                  <c:v>Orange</c:v>
                </c:pt>
                <c:pt idx="1">
                  <c:v>Cake</c:v>
                </c:pt>
                <c:pt idx="2">
                  <c:v>Wheat</c:v>
                </c:pt>
                <c:pt idx="3">
                  <c:v>Butter</c:v>
                </c:pt>
                <c:pt idx="4">
                  <c:v>Cheese</c:v>
                </c:pt>
                <c:pt idx="5">
                  <c:v>Apple</c:v>
                </c:pt>
                <c:pt idx="6">
                  <c:v>Rice</c:v>
                </c:pt>
                <c:pt idx="7">
                  <c:v>Oil</c:v>
                </c:pt>
                <c:pt idx="8">
                  <c:v>Mango</c:v>
                </c:pt>
                <c:pt idx="9">
                  <c:v>Grapes</c:v>
                </c:pt>
                <c:pt idx="10">
                  <c:v>Yogurt</c:v>
                </c:pt>
                <c:pt idx="11">
                  <c:v>Banana</c:v>
                </c:pt>
                <c:pt idx="12">
                  <c:v>Biscuits</c:v>
                </c:pt>
                <c:pt idx="13">
                  <c:v>Bread</c:v>
                </c:pt>
                <c:pt idx="14">
                  <c:v>Milk</c:v>
                </c:pt>
                <c:pt idx="15">
                  <c:v>Ice Cream</c:v>
                </c:pt>
                <c:pt idx="16">
                  <c:v>Sugar</c:v>
                </c:pt>
              </c:strCache>
            </c:strRef>
          </c:cat>
          <c:val>
            <c:numRef>
              <c:f>'pivot table'!$E$4:$E$21</c:f>
              <c:numCache>
                <c:formatCode>General</c:formatCode>
                <c:ptCount val="17"/>
                <c:pt idx="0">
                  <c:v>3140</c:v>
                </c:pt>
                <c:pt idx="1">
                  <c:v>3120</c:v>
                </c:pt>
                <c:pt idx="2">
                  <c:v>3115</c:v>
                </c:pt>
                <c:pt idx="3">
                  <c:v>2930</c:v>
                </c:pt>
                <c:pt idx="4">
                  <c:v>2780</c:v>
                </c:pt>
                <c:pt idx="5">
                  <c:v>2325</c:v>
                </c:pt>
                <c:pt idx="6">
                  <c:v>2316</c:v>
                </c:pt>
                <c:pt idx="7">
                  <c:v>2005</c:v>
                </c:pt>
                <c:pt idx="8">
                  <c:v>1800</c:v>
                </c:pt>
                <c:pt idx="9">
                  <c:v>1540</c:v>
                </c:pt>
                <c:pt idx="10">
                  <c:v>1525</c:v>
                </c:pt>
                <c:pt idx="11">
                  <c:v>1524</c:v>
                </c:pt>
                <c:pt idx="12">
                  <c:v>1230</c:v>
                </c:pt>
                <c:pt idx="13">
                  <c:v>1212</c:v>
                </c:pt>
                <c:pt idx="14">
                  <c:v>1136</c:v>
                </c:pt>
                <c:pt idx="15">
                  <c:v>1120</c:v>
                </c:pt>
                <c:pt idx="16">
                  <c:v>750</c:v>
                </c:pt>
              </c:numCache>
            </c:numRef>
          </c:val>
          <c:extLst>
            <c:ext xmlns:c16="http://schemas.microsoft.com/office/drawing/2014/chart" uri="{C3380CC4-5D6E-409C-BE32-E72D297353CC}">
              <c16:uniqueId val="{00000000-C50A-4205-AAA4-46A9102B1B5D}"/>
            </c:ext>
          </c:extLst>
        </c:ser>
        <c:ser>
          <c:idx val="1"/>
          <c:order val="1"/>
          <c:tx>
            <c:strRef>
              <c:f>'pivot table'!$F$3</c:f>
              <c:strCache>
                <c:ptCount val="1"/>
                <c:pt idx="0">
                  <c:v>Sum of Profit</c:v>
                </c:pt>
              </c:strCache>
            </c:strRef>
          </c:tx>
          <c:spPr>
            <a:solidFill>
              <a:schemeClr val="accent2"/>
            </a:solidFill>
            <a:ln>
              <a:noFill/>
            </a:ln>
            <a:effectLst/>
          </c:spPr>
          <c:invertIfNegative val="0"/>
          <c:cat>
            <c:strRef>
              <c:f>'pivot table'!$D$4:$D$21</c:f>
              <c:strCache>
                <c:ptCount val="17"/>
                <c:pt idx="0">
                  <c:v>Orange</c:v>
                </c:pt>
                <c:pt idx="1">
                  <c:v>Cake</c:v>
                </c:pt>
                <c:pt idx="2">
                  <c:v>Wheat</c:v>
                </c:pt>
                <c:pt idx="3">
                  <c:v>Butter</c:v>
                </c:pt>
                <c:pt idx="4">
                  <c:v>Cheese</c:v>
                </c:pt>
                <c:pt idx="5">
                  <c:v>Apple</c:v>
                </c:pt>
                <c:pt idx="6">
                  <c:v>Rice</c:v>
                </c:pt>
                <c:pt idx="7">
                  <c:v>Oil</c:v>
                </c:pt>
                <c:pt idx="8">
                  <c:v>Mango</c:v>
                </c:pt>
                <c:pt idx="9">
                  <c:v>Grapes</c:v>
                </c:pt>
                <c:pt idx="10">
                  <c:v>Yogurt</c:v>
                </c:pt>
                <c:pt idx="11">
                  <c:v>Banana</c:v>
                </c:pt>
                <c:pt idx="12">
                  <c:v>Biscuits</c:v>
                </c:pt>
                <c:pt idx="13">
                  <c:v>Bread</c:v>
                </c:pt>
                <c:pt idx="14">
                  <c:v>Milk</c:v>
                </c:pt>
                <c:pt idx="15">
                  <c:v>Ice Cream</c:v>
                </c:pt>
                <c:pt idx="16">
                  <c:v>Sugar</c:v>
                </c:pt>
              </c:strCache>
            </c:strRef>
          </c:cat>
          <c:val>
            <c:numRef>
              <c:f>'pivot table'!$F$4:$F$21</c:f>
              <c:numCache>
                <c:formatCode>General</c:formatCode>
                <c:ptCount val="17"/>
                <c:pt idx="0">
                  <c:v>1020</c:v>
                </c:pt>
                <c:pt idx="1">
                  <c:v>740</c:v>
                </c:pt>
                <c:pt idx="2">
                  <c:v>855</c:v>
                </c:pt>
                <c:pt idx="3">
                  <c:v>520</c:v>
                </c:pt>
                <c:pt idx="4">
                  <c:v>520</c:v>
                </c:pt>
                <c:pt idx="5">
                  <c:v>760</c:v>
                </c:pt>
                <c:pt idx="6">
                  <c:v>552</c:v>
                </c:pt>
                <c:pt idx="7">
                  <c:v>330</c:v>
                </c:pt>
                <c:pt idx="8">
                  <c:v>600</c:v>
                </c:pt>
                <c:pt idx="9">
                  <c:v>490</c:v>
                </c:pt>
                <c:pt idx="10">
                  <c:v>420</c:v>
                </c:pt>
                <c:pt idx="11">
                  <c:v>740</c:v>
                </c:pt>
                <c:pt idx="12">
                  <c:v>510</c:v>
                </c:pt>
                <c:pt idx="13">
                  <c:v>404</c:v>
                </c:pt>
                <c:pt idx="14">
                  <c:v>400</c:v>
                </c:pt>
                <c:pt idx="15">
                  <c:v>280</c:v>
                </c:pt>
                <c:pt idx="16">
                  <c:v>180</c:v>
                </c:pt>
              </c:numCache>
            </c:numRef>
          </c:val>
          <c:extLst>
            <c:ext xmlns:c16="http://schemas.microsoft.com/office/drawing/2014/chart" uri="{C3380CC4-5D6E-409C-BE32-E72D297353CC}">
              <c16:uniqueId val="{00000001-C50A-4205-AAA4-46A9102B1B5D}"/>
            </c:ext>
          </c:extLst>
        </c:ser>
        <c:dLbls>
          <c:showLegendKey val="0"/>
          <c:showVal val="0"/>
          <c:showCatName val="0"/>
          <c:showSerName val="0"/>
          <c:showPercent val="0"/>
          <c:showBubbleSize val="0"/>
        </c:dLbls>
        <c:gapWidth val="219"/>
        <c:axId val="404240056"/>
        <c:axId val="404241040"/>
      </c:barChart>
      <c:catAx>
        <c:axId val="4042400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241040"/>
        <c:crosses val="autoZero"/>
        <c:auto val="1"/>
        <c:lblAlgn val="ctr"/>
        <c:lblOffset val="100"/>
        <c:noMultiLvlLbl val="0"/>
      </c:catAx>
      <c:valAx>
        <c:axId val="40424104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240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[Retail_Sales_Excel_Project_Data.xlsx]pivot table!PivotTable7</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'pivot table'!$I$3</c:f>
              <c:strCache>
                <c:ptCount val="1"/>
                <c:pt idx="0">
                  <c:v>Sum of Revenue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203-4973-A8AD-64EDB7B5D97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203-4973-A8AD-64EDB7B5D97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203-4973-A8AD-64EDB7B5D97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203-4973-A8AD-64EDB7B5D97D}"/>
              </c:ext>
            </c:extLst>
          </c:dPt>
          <c:cat>
            <c:strRef>
              <c:f>'pivot table'!$H$4:$H$8</c:f>
              <c:strCache>
                <c:ptCount val="4"/>
                <c:pt idx="0">
                  <c:v>Bakery</c:v>
                </c:pt>
                <c:pt idx="1">
                  <c:v>Dairy</c:v>
                </c:pt>
                <c:pt idx="2">
                  <c:v>Fruits</c:v>
                </c:pt>
                <c:pt idx="3">
                  <c:v>Grocery</c:v>
                </c:pt>
              </c:strCache>
            </c:strRef>
          </c:cat>
          <c:val>
            <c:numRef>
              <c:f>'pivot table'!$I$4:$I$8</c:f>
              <c:numCache>
                <c:formatCode>General</c:formatCode>
                <c:ptCount val="4"/>
                <c:pt idx="0">
                  <c:v>5562</c:v>
                </c:pt>
                <c:pt idx="1">
                  <c:v>9491</c:v>
                </c:pt>
                <c:pt idx="2">
                  <c:v>10329</c:v>
                </c:pt>
                <c:pt idx="3">
                  <c:v>8186</c:v>
                </c:pt>
              </c:numCache>
            </c:numRef>
          </c:val>
          <c:extLst>
            <c:ext xmlns:c16="http://schemas.microsoft.com/office/drawing/2014/chart" uri="{C3380CC4-5D6E-409C-BE32-E72D297353CC}">
              <c16:uniqueId val="{00000000-FC79-40F5-B37E-AF97B898D6F4}"/>
            </c:ext>
          </c:extLst>
        </c:ser>
        <c:ser>
          <c:idx val="1"/>
          <c:order val="1"/>
          <c:tx>
            <c:strRef>
              <c:f>'pivot table'!$J$3</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A203-4973-A8AD-64EDB7B5D97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A203-4973-A8AD-64EDB7B5D97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A203-4973-A8AD-64EDB7B5D97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A203-4973-A8AD-64EDB7B5D97D}"/>
              </c:ext>
            </c:extLst>
          </c:dPt>
          <c:cat>
            <c:strRef>
              <c:f>'pivot table'!$H$4:$H$8</c:f>
              <c:strCache>
                <c:ptCount val="4"/>
                <c:pt idx="0">
                  <c:v>Bakery</c:v>
                </c:pt>
                <c:pt idx="1">
                  <c:v>Dairy</c:v>
                </c:pt>
                <c:pt idx="2">
                  <c:v>Fruits</c:v>
                </c:pt>
                <c:pt idx="3">
                  <c:v>Grocery</c:v>
                </c:pt>
              </c:strCache>
            </c:strRef>
          </c:cat>
          <c:val>
            <c:numRef>
              <c:f>'pivot table'!$J$4:$J$8</c:f>
              <c:numCache>
                <c:formatCode>General</c:formatCode>
                <c:ptCount val="4"/>
                <c:pt idx="0">
                  <c:v>1654</c:v>
                </c:pt>
                <c:pt idx="1">
                  <c:v>2140</c:v>
                </c:pt>
                <c:pt idx="2">
                  <c:v>3610</c:v>
                </c:pt>
                <c:pt idx="3">
                  <c:v>1917</c:v>
                </c:pt>
              </c:numCache>
            </c:numRef>
          </c:val>
          <c:extLst>
            <c:ext xmlns:c16="http://schemas.microsoft.com/office/drawing/2014/chart" uri="{C3380CC4-5D6E-409C-BE32-E72D297353CC}">
              <c16:uniqueId val="{00000001-FC79-40F5-B37E-AF97B898D6F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[Retail_Sales_Excel_Project_Data.xlsx]pivot table!PivotTable8</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table'!$I$10</c:f>
              <c:strCache>
                <c:ptCount val="1"/>
                <c:pt idx="0">
                  <c:v>Total</c:v>
                </c:pt>
              </c:strCache>
            </c:strRef>
          </c:tx>
          <c:spPr>
            <a:solidFill>
              <a:schemeClr val="accent1"/>
            </a:solidFill>
            <a:ln>
              <a:noFill/>
            </a:ln>
            <a:effectLst/>
          </c:spPr>
          <c:invertIfNegative val="0"/>
          <c:cat>
            <c:strRef>
              <c:f>'pivot table'!$H$11:$H$15</c:f>
              <c:strCache>
                <c:ptCount val="4"/>
                <c:pt idx="0">
                  <c:v>East</c:v>
                </c:pt>
                <c:pt idx="1">
                  <c:v>North</c:v>
                </c:pt>
                <c:pt idx="2">
                  <c:v>South</c:v>
                </c:pt>
                <c:pt idx="3">
                  <c:v>West</c:v>
                </c:pt>
              </c:strCache>
            </c:strRef>
          </c:cat>
          <c:val>
            <c:numRef>
              <c:f>'pivot table'!$I$11:$I$15</c:f>
              <c:numCache>
                <c:formatCode>General</c:formatCode>
                <c:ptCount val="4"/>
                <c:pt idx="0">
                  <c:v>8611</c:v>
                </c:pt>
                <c:pt idx="1">
                  <c:v>7765</c:v>
                </c:pt>
                <c:pt idx="2">
                  <c:v>10566</c:v>
                </c:pt>
                <c:pt idx="3">
                  <c:v>6626</c:v>
                </c:pt>
              </c:numCache>
            </c:numRef>
          </c:val>
          <c:extLst>
            <c:ext xmlns:c16="http://schemas.microsoft.com/office/drawing/2014/chart" uri="{C3380CC4-5D6E-409C-BE32-E72D297353CC}">
              <c16:uniqueId val="{00000000-DB05-4564-A7EE-3110DA78791C}"/>
            </c:ext>
          </c:extLst>
        </c:ser>
        <c:dLbls>
          <c:showLegendKey val="0"/>
          <c:showVal val="0"/>
          <c:showCatName val="0"/>
          <c:showSerName val="0"/>
          <c:showPercent val="0"/>
          <c:showBubbleSize val="0"/>
        </c:dLbls>
        <c:gapWidth val="219"/>
        <c:overlap val="-27"/>
        <c:axId val="485629192"/>
        <c:axId val="485630504"/>
      </c:barChart>
      <c:catAx>
        <c:axId val="4856291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630504"/>
        <c:crosses val="autoZero"/>
        <c:auto val="1"/>
        <c:lblAlgn val="ctr"/>
        <c:lblOffset val="100"/>
        <c:noMultiLvlLbl val="0"/>
      </c:catAx>
      <c:valAx>
        <c:axId val="48563050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629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[Retail_Sales_Excel_Project_Data.xlsx]pivot table!PivotTable4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04A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rgbClr val="E04A2C"/>
            </a:solidFill>
            <a:ln>
              <a:noFill/>
            </a:ln>
            <a:effectLst/>
          </c:spPr>
          <c:invertIfNegative val="0"/>
          <c:cat>
            <c:strRef>
              <c:f>'pivot table'!$A$4:$A$5</c:f>
              <c:strCache>
                <c:ptCount val="1"/>
                <c:pt idx="0">
                  <c:v>Jan</c:v>
                </c:pt>
              </c:strCache>
            </c:strRef>
          </c:cat>
          <c:val>
            <c:numRef>
              <c:f>'pivot table'!$B$4:$B$5</c:f>
              <c:numCache>
                <c:formatCode>General</c:formatCode>
                <c:ptCount val="1"/>
                <c:pt idx="0">
                  <c:v>33568</c:v>
                </c:pt>
              </c:numCache>
            </c:numRef>
          </c:val>
          <c:extLst>
            <c:ext xmlns:c16="http://schemas.microsoft.com/office/drawing/2014/chart" uri="{C3380CC4-5D6E-409C-BE32-E72D297353CC}">
              <c16:uniqueId val="{00000000-BEDE-4B71-B8EF-C4F90A8E89B1}"/>
            </c:ext>
          </c:extLst>
        </c:ser>
        <c:dLbls>
          <c:showLegendKey val="0"/>
          <c:showVal val="0"/>
          <c:showCatName val="0"/>
          <c:showSerName val="0"/>
          <c:showPercent val="0"/>
          <c:showBubbleSize val="0"/>
        </c:dLbls>
        <c:gapWidth val="219"/>
        <c:overlap val="-27"/>
        <c:axId val="408324216"/>
        <c:axId val="408325856"/>
      </c:barChart>
      <c:catAx>
        <c:axId val="4083242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325856"/>
        <c:crosses val="autoZero"/>
        <c:auto val="1"/>
        <c:lblAlgn val="ctr"/>
        <c:lblOffset val="100"/>
        <c:noMultiLvlLbl val="0"/>
      </c:catAx>
      <c:valAx>
        <c:axId val="40832585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324216"/>
        <c:crosses val="autoZero"/>
        <c:crossBetween val="between"/>
      </c:valAx>
      <c:spPr>
        <a:noFill/>
        <a:ln>
          <a:solidFill>
            <a:schemeClr val="accent1"/>
          </a:solidFill>
        </a:ln>
        <a:effectLst>
          <a:outerShdw blurRad="50800" dist="25400" dir="5400000" algn="ctr" rotWithShape="0">
            <a:srgbClr val="000000">
              <a:alpha val="43137"/>
            </a:srgbClr>
          </a:outerShd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[Retail_Sales_Excel_Project_Data.xlsx]pivot table!PivotTable6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table'!$E$3</c:f>
              <c:strCache>
                <c:ptCount val="1"/>
                <c:pt idx="0">
                  <c:v>Sum of Revenue</c:v>
                </c:pt>
              </c:strCache>
            </c:strRef>
          </c:tx>
          <c:spPr>
            <a:solidFill>
              <a:schemeClr val="accent1"/>
            </a:solidFill>
            <a:ln>
              <a:noFill/>
            </a:ln>
            <a:effectLst/>
          </c:spPr>
          <c:invertIfNegative val="0"/>
          <c:cat>
            <c:strRef>
              <c:f>'pivot table'!$D$4:$D$21</c:f>
              <c:strCache>
                <c:ptCount val="17"/>
                <c:pt idx="0">
                  <c:v>Orange</c:v>
                </c:pt>
                <c:pt idx="1">
                  <c:v>Cake</c:v>
                </c:pt>
                <c:pt idx="2">
                  <c:v>Wheat</c:v>
                </c:pt>
                <c:pt idx="3">
                  <c:v>Butter</c:v>
                </c:pt>
                <c:pt idx="4">
                  <c:v>Cheese</c:v>
                </c:pt>
                <c:pt idx="5">
                  <c:v>Apple</c:v>
                </c:pt>
                <c:pt idx="6">
                  <c:v>Rice</c:v>
                </c:pt>
                <c:pt idx="7">
                  <c:v>Oil</c:v>
                </c:pt>
                <c:pt idx="8">
                  <c:v>Mango</c:v>
                </c:pt>
                <c:pt idx="9">
                  <c:v>Grapes</c:v>
                </c:pt>
                <c:pt idx="10">
                  <c:v>Yogurt</c:v>
                </c:pt>
                <c:pt idx="11">
                  <c:v>Banana</c:v>
                </c:pt>
                <c:pt idx="12">
                  <c:v>Biscuits</c:v>
                </c:pt>
                <c:pt idx="13">
                  <c:v>Bread</c:v>
                </c:pt>
                <c:pt idx="14">
                  <c:v>Milk</c:v>
                </c:pt>
                <c:pt idx="15">
                  <c:v>Ice Cream</c:v>
                </c:pt>
                <c:pt idx="16">
                  <c:v>Sugar</c:v>
                </c:pt>
              </c:strCache>
            </c:strRef>
          </c:cat>
          <c:val>
            <c:numRef>
              <c:f>'pivot table'!$E$4:$E$21</c:f>
              <c:numCache>
                <c:formatCode>General</c:formatCode>
                <c:ptCount val="17"/>
                <c:pt idx="0">
                  <c:v>3140</c:v>
                </c:pt>
                <c:pt idx="1">
                  <c:v>3120</c:v>
                </c:pt>
                <c:pt idx="2">
                  <c:v>3115</c:v>
                </c:pt>
                <c:pt idx="3">
                  <c:v>2930</c:v>
                </c:pt>
                <c:pt idx="4">
                  <c:v>2780</c:v>
                </c:pt>
                <c:pt idx="5">
                  <c:v>2325</c:v>
                </c:pt>
                <c:pt idx="6">
                  <c:v>2316</c:v>
                </c:pt>
                <c:pt idx="7">
                  <c:v>2005</c:v>
                </c:pt>
                <c:pt idx="8">
                  <c:v>1800</c:v>
                </c:pt>
                <c:pt idx="9">
                  <c:v>1540</c:v>
                </c:pt>
                <c:pt idx="10">
                  <c:v>1525</c:v>
                </c:pt>
                <c:pt idx="11">
                  <c:v>1524</c:v>
                </c:pt>
                <c:pt idx="12">
                  <c:v>1230</c:v>
                </c:pt>
                <c:pt idx="13">
                  <c:v>1212</c:v>
                </c:pt>
                <c:pt idx="14">
                  <c:v>1136</c:v>
                </c:pt>
                <c:pt idx="15">
                  <c:v>1120</c:v>
                </c:pt>
                <c:pt idx="16">
                  <c:v>750</c:v>
                </c:pt>
              </c:numCache>
            </c:numRef>
          </c:val>
          <c:extLst>
            <c:ext xmlns:c16="http://schemas.microsoft.com/office/drawing/2014/chart" uri="{C3380CC4-5D6E-409C-BE32-E72D297353CC}">
              <c16:uniqueId val="{00000000-CB47-4EAA-BB8A-904CEA017B7C}"/>
            </c:ext>
          </c:extLst>
        </c:ser>
        <c:ser>
          <c:idx val="1"/>
          <c:order val="1"/>
          <c:tx>
            <c:strRef>
              <c:f>'pivot table'!$F$3</c:f>
              <c:strCache>
                <c:ptCount val="1"/>
                <c:pt idx="0">
                  <c:v>Sum of Profit</c:v>
                </c:pt>
              </c:strCache>
            </c:strRef>
          </c:tx>
          <c:spPr>
            <a:solidFill>
              <a:schemeClr val="accent2"/>
            </a:solidFill>
            <a:ln>
              <a:noFill/>
            </a:ln>
            <a:effectLst/>
          </c:spPr>
          <c:invertIfNegative val="0"/>
          <c:cat>
            <c:strRef>
              <c:f>'pivot table'!$D$4:$D$21</c:f>
              <c:strCache>
                <c:ptCount val="17"/>
                <c:pt idx="0">
                  <c:v>Orange</c:v>
                </c:pt>
                <c:pt idx="1">
                  <c:v>Cake</c:v>
                </c:pt>
                <c:pt idx="2">
                  <c:v>Wheat</c:v>
                </c:pt>
                <c:pt idx="3">
                  <c:v>Butter</c:v>
                </c:pt>
                <c:pt idx="4">
                  <c:v>Cheese</c:v>
                </c:pt>
                <c:pt idx="5">
                  <c:v>Apple</c:v>
                </c:pt>
                <c:pt idx="6">
                  <c:v>Rice</c:v>
                </c:pt>
                <c:pt idx="7">
                  <c:v>Oil</c:v>
                </c:pt>
                <c:pt idx="8">
                  <c:v>Mango</c:v>
                </c:pt>
                <c:pt idx="9">
                  <c:v>Grapes</c:v>
                </c:pt>
                <c:pt idx="10">
                  <c:v>Yogurt</c:v>
                </c:pt>
                <c:pt idx="11">
                  <c:v>Banana</c:v>
                </c:pt>
                <c:pt idx="12">
                  <c:v>Biscuits</c:v>
                </c:pt>
                <c:pt idx="13">
                  <c:v>Bread</c:v>
                </c:pt>
                <c:pt idx="14">
                  <c:v>Milk</c:v>
                </c:pt>
                <c:pt idx="15">
                  <c:v>Ice Cream</c:v>
                </c:pt>
                <c:pt idx="16">
                  <c:v>Sugar</c:v>
                </c:pt>
              </c:strCache>
            </c:strRef>
          </c:cat>
          <c:val>
            <c:numRef>
              <c:f>'pivot table'!$F$4:$F$21</c:f>
              <c:numCache>
                <c:formatCode>General</c:formatCode>
                <c:ptCount val="17"/>
                <c:pt idx="0">
                  <c:v>1020</c:v>
                </c:pt>
                <c:pt idx="1">
                  <c:v>740</c:v>
                </c:pt>
                <c:pt idx="2">
                  <c:v>855</c:v>
                </c:pt>
                <c:pt idx="3">
                  <c:v>520</c:v>
                </c:pt>
                <c:pt idx="4">
                  <c:v>520</c:v>
                </c:pt>
                <c:pt idx="5">
                  <c:v>760</c:v>
                </c:pt>
                <c:pt idx="6">
                  <c:v>552</c:v>
                </c:pt>
                <c:pt idx="7">
                  <c:v>330</c:v>
                </c:pt>
                <c:pt idx="8">
                  <c:v>600</c:v>
                </c:pt>
                <c:pt idx="9">
                  <c:v>490</c:v>
                </c:pt>
                <c:pt idx="10">
                  <c:v>420</c:v>
                </c:pt>
                <c:pt idx="11">
                  <c:v>740</c:v>
                </c:pt>
                <c:pt idx="12">
                  <c:v>510</c:v>
                </c:pt>
                <c:pt idx="13">
                  <c:v>404</c:v>
                </c:pt>
                <c:pt idx="14">
                  <c:v>400</c:v>
                </c:pt>
                <c:pt idx="15">
                  <c:v>280</c:v>
                </c:pt>
                <c:pt idx="16">
                  <c:v>180</c:v>
                </c:pt>
              </c:numCache>
            </c:numRef>
          </c:val>
          <c:extLst>
            <c:ext xmlns:c16="http://schemas.microsoft.com/office/drawing/2014/chart" uri="{C3380CC4-5D6E-409C-BE32-E72D297353CC}">
              <c16:uniqueId val="{00000001-CB47-4EAA-BB8A-904CEA017B7C}"/>
            </c:ext>
          </c:extLst>
        </c:ser>
        <c:dLbls>
          <c:showLegendKey val="0"/>
          <c:showVal val="0"/>
          <c:showCatName val="0"/>
          <c:showSerName val="0"/>
          <c:showPercent val="0"/>
          <c:showBubbleSize val="0"/>
        </c:dLbls>
        <c:gapWidth val="219"/>
        <c:axId val="404240056"/>
        <c:axId val="404241040"/>
      </c:barChart>
      <c:catAx>
        <c:axId val="4042400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241040"/>
        <c:crosses val="autoZero"/>
        <c:auto val="1"/>
        <c:lblAlgn val="ctr"/>
        <c:lblOffset val="100"/>
        <c:noMultiLvlLbl val="0"/>
      </c:catAx>
      <c:valAx>
        <c:axId val="40424104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240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[Retail_Sales_Excel_Project_Data.xlsx]pivot table!PivotTable7</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s>
    <c:plotArea>
      <c:layout/>
      <c:pieChart>
        <c:varyColors val="1"/>
        <c:ser>
          <c:idx val="0"/>
          <c:order val="0"/>
          <c:tx>
            <c:strRef>
              <c:f>'pivot table'!$I$3</c:f>
              <c:strCache>
                <c:ptCount val="1"/>
                <c:pt idx="0">
                  <c:v>Sum of Revenue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DDD-4B4E-8D58-6E95DFF24D1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DDD-4B4E-8D58-6E95DFF24D1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DDD-4B4E-8D58-6E95DFF24D1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DDD-4B4E-8D58-6E95DFF24D13}"/>
              </c:ext>
            </c:extLst>
          </c:dPt>
          <c:cat>
            <c:strRef>
              <c:f>'pivot table'!$H$4:$H$8</c:f>
              <c:strCache>
                <c:ptCount val="4"/>
                <c:pt idx="0">
                  <c:v>Bakery</c:v>
                </c:pt>
                <c:pt idx="1">
                  <c:v>Dairy</c:v>
                </c:pt>
                <c:pt idx="2">
                  <c:v>Fruits</c:v>
                </c:pt>
                <c:pt idx="3">
                  <c:v>Grocery</c:v>
                </c:pt>
              </c:strCache>
            </c:strRef>
          </c:cat>
          <c:val>
            <c:numRef>
              <c:f>'pivot table'!$I$4:$I$8</c:f>
              <c:numCache>
                <c:formatCode>General</c:formatCode>
                <c:ptCount val="4"/>
                <c:pt idx="0">
                  <c:v>5562</c:v>
                </c:pt>
                <c:pt idx="1">
                  <c:v>9491</c:v>
                </c:pt>
                <c:pt idx="2">
                  <c:v>10329</c:v>
                </c:pt>
                <c:pt idx="3">
                  <c:v>8186</c:v>
                </c:pt>
              </c:numCache>
            </c:numRef>
          </c:val>
          <c:extLst>
            <c:ext xmlns:c16="http://schemas.microsoft.com/office/drawing/2014/chart" uri="{C3380CC4-5D6E-409C-BE32-E72D297353CC}">
              <c16:uniqueId val="{00000008-3DDD-4B4E-8D58-6E95DFF24D13}"/>
            </c:ext>
          </c:extLst>
        </c:ser>
        <c:ser>
          <c:idx val="1"/>
          <c:order val="1"/>
          <c:tx>
            <c:strRef>
              <c:f>'pivot table'!$J$3</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3DDD-4B4E-8D58-6E95DFF24D1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3DDD-4B4E-8D58-6E95DFF24D1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3DDD-4B4E-8D58-6E95DFF24D1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3DDD-4B4E-8D58-6E95DFF24D13}"/>
              </c:ext>
            </c:extLst>
          </c:dPt>
          <c:cat>
            <c:strRef>
              <c:f>'pivot table'!$H$4:$H$8</c:f>
              <c:strCache>
                <c:ptCount val="4"/>
                <c:pt idx="0">
                  <c:v>Bakery</c:v>
                </c:pt>
                <c:pt idx="1">
                  <c:v>Dairy</c:v>
                </c:pt>
                <c:pt idx="2">
                  <c:v>Fruits</c:v>
                </c:pt>
                <c:pt idx="3">
                  <c:v>Grocery</c:v>
                </c:pt>
              </c:strCache>
            </c:strRef>
          </c:cat>
          <c:val>
            <c:numRef>
              <c:f>'pivot table'!$J$4:$J$8</c:f>
              <c:numCache>
                <c:formatCode>General</c:formatCode>
                <c:ptCount val="4"/>
                <c:pt idx="0">
                  <c:v>1654</c:v>
                </c:pt>
                <c:pt idx="1">
                  <c:v>2140</c:v>
                </c:pt>
                <c:pt idx="2">
                  <c:v>3610</c:v>
                </c:pt>
                <c:pt idx="3">
                  <c:v>1917</c:v>
                </c:pt>
              </c:numCache>
            </c:numRef>
          </c:val>
          <c:extLst>
            <c:ext xmlns:c16="http://schemas.microsoft.com/office/drawing/2014/chart" uri="{C3380CC4-5D6E-409C-BE32-E72D297353CC}">
              <c16:uniqueId val="{00000011-3DDD-4B4E-8D58-6E95DFF24D1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[Retail_Sales_Excel_Project_Data.xlsx]pivot table!PivotTable8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table'!$I$10</c:f>
              <c:strCache>
                <c:ptCount val="1"/>
                <c:pt idx="0">
                  <c:v>Total</c:v>
                </c:pt>
              </c:strCache>
            </c:strRef>
          </c:tx>
          <c:spPr>
            <a:solidFill>
              <a:schemeClr val="accent1"/>
            </a:solidFill>
            <a:ln>
              <a:noFill/>
            </a:ln>
            <a:effectLst/>
          </c:spPr>
          <c:invertIfNegative val="0"/>
          <c:cat>
            <c:strRef>
              <c:f>'pivot table'!$H$11:$H$15</c:f>
              <c:strCache>
                <c:ptCount val="4"/>
                <c:pt idx="0">
                  <c:v>East</c:v>
                </c:pt>
                <c:pt idx="1">
                  <c:v>North</c:v>
                </c:pt>
                <c:pt idx="2">
                  <c:v>South</c:v>
                </c:pt>
                <c:pt idx="3">
                  <c:v>West</c:v>
                </c:pt>
              </c:strCache>
            </c:strRef>
          </c:cat>
          <c:val>
            <c:numRef>
              <c:f>'pivot table'!$I$11:$I$15</c:f>
              <c:numCache>
                <c:formatCode>General</c:formatCode>
                <c:ptCount val="4"/>
                <c:pt idx="0">
                  <c:v>8611</c:v>
                </c:pt>
                <c:pt idx="1">
                  <c:v>7765</c:v>
                </c:pt>
                <c:pt idx="2">
                  <c:v>10566</c:v>
                </c:pt>
                <c:pt idx="3">
                  <c:v>6626</c:v>
                </c:pt>
              </c:numCache>
            </c:numRef>
          </c:val>
          <c:extLst>
            <c:ext xmlns:c16="http://schemas.microsoft.com/office/drawing/2014/chart" uri="{C3380CC4-5D6E-409C-BE32-E72D297353CC}">
              <c16:uniqueId val="{00000000-D22F-4F97-A2FA-69D7B03ED624}"/>
            </c:ext>
          </c:extLst>
        </c:ser>
        <c:dLbls>
          <c:showLegendKey val="0"/>
          <c:showVal val="0"/>
          <c:showCatName val="0"/>
          <c:showSerName val="0"/>
          <c:showPercent val="0"/>
          <c:showBubbleSize val="0"/>
        </c:dLbls>
        <c:gapWidth val="219"/>
        <c:overlap val="-27"/>
        <c:axId val="485629192"/>
        <c:axId val="485630504"/>
      </c:barChart>
      <c:catAx>
        <c:axId val="4856291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630504"/>
        <c:crosses val="autoZero"/>
        <c:auto val="1"/>
        <c:lblAlgn val="ctr"/>
        <c:lblOffset val="100"/>
        <c:noMultiLvlLbl val="0"/>
      </c:catAx>
      <c:valAx>
        <c:axId val="48563050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629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9.svg"/><Relationship Id="rId3" Type="http://schemas.openxmlformats.org/officeDocument/2006/relationships/chart" Target="../charts/chart6.xml"/><Relationship Id="rId7" Type="http://schemas.openxmlformats.org/officeDocument/2006/relationships/image" Target="../media/image3.svg"/><Relationship Id="rId12" Type="http://schemas.openxmlformats.org/officeDocument/2006/relationships/image" Target="../media/image8.png"/><Relationship Id="rId2" Type="http://schemas.openxmlformats.org/officeDocument/2006/relationships/chart" Target="../charts/chart5.xml"/><Relationship Id="rId1" Type="http://schemas.openxmlformats.org/officeDocument/2006/relationships/image" Target="../media/image1.jpeg"/><Relationship Id="rId6" Type="http://schemas.openxmlformats.org/officeDocument/2006/relationships/image" Target="../media/image2.png"/><Relationship Id="rId11" Type="http://schemas.openxmlformats.org/officeDocument/2006/relationships/image" Target="../media/image7.svg"/><Relationship Id="rId5" Type="http://schemas.openxmlformats.org/officeDocument/2006/relationships/chart" Target="../charts/chart8.xml"/><Relationship Id="rId10" Type="http://schemas.openxmlformats.org/officeDocument/2006/relationships/image" Target="../media/image6.png"/><Relationship Id="rId4" Type="http://schemas.openxmlformats.org/officeDocument/2006/relationships/chart" Target="../charts/chart7.xml"/><Relationship Id="rId9" Type="http://schemas.openxmlformats.org/officeDocument/2006/relationships/image" Target="../media/image5.svg"/></Relationships>
</file>

<file path=xl/drawings/drawing1.xml><?xml version="1.0" encoding="utf-8"?>
<xdr:wsDr xmlns:xdr="http://schemas.openxmlformats.org/drawingml/2006/spreadsheetDrawing" xmlns:a="http://schemas.openxmlformats.org/drawingml/2006/main">
  <xdr:twoCellAnchor>
    <xdr:from>
      <xdr:col>10</xdr:col>
      <xdr:colOff>190500</xdr:colOff>
      <xdr:row>1</xdr:row>
      <xdr:rowOff>90487</xdr:rowOff>
    </xdr:from>
    <xdr:to>
      <xdr:col>16</xdr:col>
      <xdr:colOff>323850</xdr:colOff>
      <xdr:row>15</xdr:row>
      <xdr:rowOff>166687</xdr:rowOff>
    </xdr:to>
    <xdr:graphicFrame macro="">
      <xdr:nvGraphicFramePr>
        <xdr:cNvPr id="2" name="Chart 1">
          <a:extLst>
            <a:ext uri="{FF2B5EF4-FFF2-40B4-BE49-F238E27FC236}">
              <a16:creationId xmlns:a16="http://schemas.microsoft.com/office/drawing/2014/main" id="{13D296F0-0748-49B2-BCFB-4416AB086B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581025</xdr:colOff>
      <xdr:row>1</xdr:row>
      <xdr:rowOff>128587</xdr:rowOff>
    </xdr:from>
    <xdr:to>
      <xdr:col>25</xdr:col>
      <xdr:colOff>276225</xdr:colOff>
      <xdr:row>16</xdr:row>
      <xdr:rowOff>14287</xdr:rowOff>
    </xdr:to>
    <xdr:graphicFrame macro="">
      <xdr:nvGraphicFramePr>
        <xdr:cNvPr id="3" name="Chart 2">
          <a:extLst>
            <a:ext uri="{FF2B5EF4-FFF2-40B4-BE49-F238E27FC236}">
              <a16:creationId xmlns:a16="http://schemas.microsoft.com/office/drawing/2014/main" id="{EE5DE7F3-6237-4E4B-950A-7DEB1D6C4D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142875</xdr:colOff>
      <xdr:row>16</xdr:row>
      <xdr:rowOff>100012</xdr:rowOff>
    </xdr:from>
    <xdr:to>
      <xdr:col>17</xdr:col>
      <xdr:colOff>447675</xdr:colOff>
      <xdr:row>30</xdr:row>
      <xdr:rowOff>176212</xdr:rowOff>
    </xdr:to>
    <xdr:graphicFrame macro="">
      <xdr:nvGraphicFramePr>
        <xdr:cNvPr id="4" name="Chart 3">
          <a:extLst>
            <a:ext uri="{FF2B5EF4-FFF2-40B4-BE49-F238E27FC236}">
              <a16:creationId xmlns:a16="http://schemas.microsoft.com/office/drawing/2014/main" id="{DE42244C-019B-41A7-8570-EEF84FFF9B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76200</xdr:colOff>
      <xdr:row>16</xdr:row>
      <xdr:rowOff>128587</xdr:rowOff>
    </xdr:from>
    <xdr:to>
      <xdr:col>25</xdr:col>
      <xdr:colOff>381000</xdr:colOff>
      <xdr:row>31</xdr:row>
      <xdr:rowOff>14287</xdr:rowOff>
    </xdr:to>
    <xdr:graphicFrame macro="">
      <xdr:nvGraphicFramePr>
        <xdr:cNvPr id="7" name="Chart 6">
          <a:extLst>
            <a:ext uri="{FF2B5EF4-FFF2-40B4-BE49-F238E27FC236}">
              <a16:creationId xmlns:a16="http://schemas.microsoft.com/office/drawing/2014/main" id="{6BBC0471-D366-4DA3-8D93-37A7E1E7AD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933450</xdr:colOff>
      <xdr:row>21</xdr:row>
      <xdr:rowOff>152400</xdr:rowOff>
    </xdr:from>
    <xdr:to>
      <xdr:col>7</xdr:col>
      <xdr:colOff>276225</xdr:colOff>
      <xdr:row>35</xdr:row>
      <xdr:rowOff>9525</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824BF2F5-79D0-409A-99D7-19EF0B79952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333875" y="41529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476250</xdr:colOff>
      <xdr:row>21</xdr:row>
      <xdr:rowOff>142875</xdr:rowOff>
    </xdr:from>
    <xdr:to>
      <xdr:col>9</xdr:col>
      <xdr:colOff>390525</xdr:colOff>
      <xdr:row>35</xdr:row>
      <xdr:rowOff>0</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040765CC-DE2F-4235-A42A-8A5357674A8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362700" y="41433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390525</xdr:colOff>
      <xdr:row>21</xdr:row>
      <xdr:rowOff>133350</xdr:rowOff>
    </xdr:from>
    <xdr:to>
      <xdr:col>4</xdr:col>
      <xdr:colOff>733425</xdr:colOff>
      <xdr:row>34</xdr:row>
      <xdr:rowOff>180975</xdr:rowOff>
    </xdr:to>
    <mc:AlternateContent xmlns:mc="http://schemas.openxmlformats.org/markup-compatibility/2006" xmlns:a14="http://schemas.microsoft.com/office/drawing/2010/main">
      <mc:Choice Requires="a14">
        <xdr:graphicFrame macro="">
          <xdr:nvGraphicFramePr>
            <xdr:cNvPr id="10" name="Product">
              <a:extLst>
                <a:ext uri="{FF2B5EF4-FFF2-40B4-BE49-F238E27FC236}">
                  <a16:creationId xmlns:a16="http://schemas.microsoft.com/office/drawing/2014/main" id="{B622CB7C-F513-4406-9CCF-2689117817A5}"/>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305050" y="41338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20</xdr:col>
      <xdr:colOff>326571</xdr:colOff>
      <xdr:row>34</xdr:row>
      <xdr:rowOff>54429</xdr:rowOff>
    </xdr:to>
    <xdr:pic>
      <xdr:nvPicPr>
        <xdr:cNvPr id="11" name="Picture 10">
          <a:extLst>
            <a:ext uri="{FF2B5EF4-FFF2-40B4-BE49-F238E27FC236}">
              <a16:creationId xmlns:a16="http://schemas.microsoft.com/office/drawing/2014/main" id="{36B21485-D1E4-4A26-9E5C-735044687F2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2573000" cy="6531429"/>
        </a:xfrm>
        <a:prstGeom prst="rect">
          <a:avLst/>
        </a:prstGeom>
      </xdr:spPr>
    </xdr:pic>
    <xdr:clientData/>
  </xdr:twoCellAnchor>
  <xdr:twoCellAnchor>
    <xdr:from>
      <xdr:col>0</xdr:col>
      <xdr:colOff>0</xdr:colOff>
      <xdr:row>0</xdr:row>
      <xdr:rowOff>28575</xdr:rowOff>
    </xdr:from>
    <xdr:to>
      <xdr:col>20</xdr:col>
      <xdr:colOff>312964</xdr:colOff>
      <xdr:row>2</xdr:row>
      <xdr:rowOff>85724</xdr:rowOff>
    </xdr:to>
    <xdr:sp macro="" textlink="">
      <xdr:nvSpPr>
        <xdr:cNvPr id="2" name="TextBox 1">
          <a:extLst>
            <a:ext uri="{FF2B5EF4-FFF2-40B4-BE49-F238E27FC236}">
              <a16:creationId xmlns:a16="http://schemas.microsoft.com/office/drawing/2014/main" id="{E42C9070-EDF7-47CD-BDE8-6F156DB6F357}"/>
            </a:ext>
          </a:extLst>
        </xdr:cNvPr>
        <xdr:cNvSpPr txBox="1"/>
      </xdr:nvSpPr>
      <xdr:spPr>
        <a:xfrm>
          <a:off x="0" y="28575"/>
          <a:ext cx="12559393" cy="438149"/>
        </a:xfrm>
        <a:prstGeom prst="rect">
          <a:avLst/>
        </a:prstGeom>
        <a:solidFill>
          <a:srgbClr val="C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a:solidFill>
                <a:srgbClr val="FFC000"/>
              </a:solidFill>
              <a:latin typeface="Times New Roman" panose="02020603050405020304" pitchFamily="18" charset="0"/>
              <a:cs typeface="Times New Roman" panose="02020603050405020304" pitchFamily="18" charset="0"/>
            </a:rPr>
            <a:t>FreshBasket Retail Sales Insights Dashboard</a:t>
          </a:r>
        </a:p>
      </xdr:txBody>
    </xdr:sp>
    <xdr:clientData/>
  </xdr:twoCellAnchor>
  <xdr:oneCellAnchor>
    <xdr:from>
      <xdr:col>3</xdr:col>
      <xdr:colOff>228600</xdr:colOff>
      <xdr:row>3</xdr:row>
      <xdr:rowOff>142875</xdr:rowOff>
    </xdr:from>
    <xdr:ext cx="184731" cy="264560"/>
    <xdr:sp macro="" textlink="">
      <xdr:nvSpPr>
        <xdr:cNvPr id="4" name="TextBox 3">
          <a:extLst>
            <a:ext uri="{FF2B5EF4-FFF2-40B4-BE49-F238E27FC236}">
              <a16:creationId xmlns:a16="http://schemas.microsoft.com/office/drawing/2014/main" id="{9B8A571C-5347-4E4F-A334-6E74EB119D04}"/>
            </a:ext>
          </a:extLst>
        </xdr:cNvPr>
        <xdr:cNvSpPr txBox="1"/>
      </xdr:nvSpPr>
      <xdr:spPr>
        <a:xfrm>
          <a:off x="2057400" y="7143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81643</xdr:colOff>
      <xdr:row>4</xdr:row>
      <xdr:rowOff>44904</xdr:rowOff>
    </xdr:from>
    <xdr:to>
      <xdr:col>2</xdr:col>
      <xdr:colOff>299357</xdr:colOff>
      <xdr:row>7</xdr:row>
      <xdr:rowOff>13607</xdr:rowOff>
    </xdr:to>
    <xdr:sp macro="" textlink="">
      <xdr:nvSpPr>
        <xdr:cNvPr id="10" name="Rectangle: Rounded Corners 9">
          <a:extLst>
            <a:ext uri="{FF2B5EF4-FFF2-40B4-BE49-F238E27FC236}">
              <a16:creationId xmlns:a16="http://schemas.microsoft.com/office/drawing/2014/main" id="{1C158889-F9FE-4510-A38B-0FCDC2E77038}"/>
            </a:ext>
          </a:extLst>
        </xdr:cNvPr>
        <xdr:cNvSpPr/>
      </xdr:nvSpPr>
      <xdr:spPr>
        <a:xfrm>
          <a:off x="81643" y="806904"/>
          <a:ext cx="1442357" cy="540203"/>
        </a:xfrm>
        <a:prstGeom prst="roundRect">
          <a:avLst/>
        </a:prstGeom>
        <a:solidFill>
          <a:schemeClr val="bg1">
            <a:lumMod val="65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solidFill>
                <a:sysClr val="windowText" lastClr="000000"/>
              </a:solidFill>
            </a:rPr>
            <a:t>  Total Revenue</a:t>
          </a:r>
        </a:p>
        <a:p>
          <a:pPr algn="ctr"/>
          <a:r>
            <a:rPr lang="en-IN" sz="1200">
              <a:solidFill>
                <a:sysClr val="windowText" lastClr="000000"/>
              </a:solidFill>
            </a:rPr>
            <a:t>33568</a:t>
          </a:r>
        </a:p>
      </xdr:txBody>
    </xdr:sp>
    <xdr:clientData/>
  </xdr:twoCellAnchor>
  <xdr:twoCellAnchor>
    <xdr:from>
      <xdr:col>0</xdr:col>
      <xdr:colOff>95250</xdr:colOff>
      <xdr:row>7</xdr:row>
      <xdr:rowOff>163287</xdr:rowOff>
    </xdr:from>
    <xdr:to>
      <xdr:col>2</xdr:col>
      <xdr:colOff>333374</xdr:colOff>
      <xdr:row>10</xdr:row>
      <xdr:rowOff>182337</xdr:rowOff>
    </xdr:to>
    <xdr:sp macro="" textlink="">
      <xdr:nvSpPr>
        <xdr:cNvPr id="12" name="Rectangle: Rounded Corners 11">
          <a:extLst>
            <a:ext uri="{FF2B5EF4-FFF2-40B4-BE49-F238E27FC236}">
              <a16:creationId xmlns:a16="http://schemas.microsoft.com/office/drawing/2014/main" id="{932A4B70-5382-4745-8B18-346414D57AC8}"/>
            </a:ext>
          </a:extLst>
        </xdr:cNvPr>
        <xdr:cNvSpPr/>
      </xdr:nvSpPr>
      <xdr:spPr>
        <a:xfrm>
          <a:off x="95250" y="1496787"/>
          <a:ext cx="1462767" cy="590550"/>
        </a:xfrm>
        <a:prstGeom prst="roundRect">
          <a:avLst/>
        </a:prstGeom>
        <a:solidFill>
          <a:schemeClr val="bg1">
            <a:lumMod val="65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solidFill>
                <a:schemeClr val="tx1"/>
              </a:solidFill>
            </a:rPr>
            <a:t>Total Profit</a:t>
          </a:r>
        </a:p>
        <a:p>
          <a:pPr algn="ctr"/>
          <a:r>
            <a:rPr lang="en-IN" sz="1200">
              <a:solidFill>
                <a:schemeClr val="tx1"/>
              </a:solidFill>
            </a:rPr>
            <a:t>9321</a:t>
          </a:r>
        </a:p>
      </xdr:txBody>
    </xdr:sp>
    <xdr:clientData/>
  </xdr:twoCellAnchor>
  <xdr:twoCellAnchor>
    <xdr:from>
      <xdr:col>0</xdr:col>
      <xdr:colOff>108858</xdr:colOff>
      <xdr:row>11</xdr:row>
      <xdr:rowOff>122465</xdr:rowOff>
    </xdr:from>
    <xdr:to>
      <xdr:col>2</xdr:col>
      <xdr:colOff>366033</xdr:colOff>
      <xdr:row>14</xdr:row>
      <xdr:rowOff>187779</xdr:rowOff>
    </xdr:to>
    <xdr:sp macro="" textlink="">
      <xdr:nvSpPr>
        <xdr:cNvPr id="13" name="Rectangle: Rounded Corners 12">
          <a:extLst>
            <a:ext uri="{FF2B5EF4-FFF2-40B4-BE49-F238E27FC236}">
              <a16:creationId xmlns:a16="http://schemas.microsoft.com/office/drawing/2014/main" id="{9642EA37-8DA0-4958-82BD-ACE95E630058}"/>
            </a:ext>
          </a:extLst>
        </xdr:cNvPr>
        <xdr:cNvSpPr/>
      </xdr:nvSpPr>
      <xdr:spPr>
        <a:xfrm>
          <a:off x="108858" y="2217965"/>
          <a:ext cx="1481818" cy="636814"/>
        </a:xfrm>
        <a:prstGeom prst="roundRect">
          <a:avLst/>
        </a:prstGeom>
        <a:solidFill>
          <a:schemeClr val="bg1">
            <a:lumMod val="65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solidFill>
                <a:sysClr val="windowText" lastClr="000000"/>
              </a:solidFill>
            </a:rPr>
            <a:t>Total Quantity</a:t>
          </a:r>
          <a:r>
            <a:rPr lang="en-IN" sz="1200" baseline="0">
              <a:solidFill>
                <a:sysClr val="windowText" lastClr="000000"/>
              </a:solidFill>
            </a:rPr>
            <a:t> Sold</a:t>
          </a:r>
          <a:endParaRPr lang="en-IN" sz="1200">
            <a:solidFill>
              <a:sysClr val="windowText" lastClr="000000"/>
            </a:solidFill>
          </a:endParaRPr>
        </a:p>
        <a:p>
          <a:pPr algn="ctr"/>
          <a:r>
            <a:rPr lang="en-IN" sz="1200">
              <a:solidFill>
                <a:sysClr val="windowText" lastClr="000000"/>
              </a:solidFill>
            </a:rPr>
            <a:t>381</a:t>
          </a:r>
        </a:p>
        <a:p>
          <a:pPr algn="ctr"/>
          <a:endParaRPr lang="en-IN" sz="1200"/>
        </a:p>
      </xdr:txBody>
    </xdr:sp>
    <xdr:clientData/>
  </xdr:twoCellAnchor>
  <xdr:twoCellAnchor>
    <xdr:from>
      <xdr:col>3</xdr:col>
      <xdr:colOff>9528</xdr:colOff>
      <xdr:row>2</xdr:row>
      <xdr:rowOff>180975</xdr:rowOff>
    </xdr:from>
    <xdr:to>
      <xdr:col>9</xdr:col>
      <xdr:colOff>599928</xdr:colOff>
      <xdr:row>17</xdr:row>
      <xdr:rowOff>66675</xdr:rowOff>
    </xdr:to>
    <xdr:graphicFrame macro="">
      <xdr:nvGraphicFramePr>
        <xdr:cNvPr id="15" name="Chart 14">
          <a:extLst>
            <a:ext uri="{FF2B5EF4-FFF2-40B4-BE49-F238E27FC236}">
              <a16:creationId xmlns:a16="http://schemas.microsoft.com/office/drawing/2014/main" id="{5FAB5DE1-EBEF-4776-A6D3-F7A379179B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171450</xdr:colOff>
      <xdr:row>2</xdr:row>
      <xdr:rowOff>180975</xdr:rowOff>
    </xdr:from>
    <xdr:to>
      <xdr:col>17</xdr:col>
      <xdr:colOff>152400</xdr:colOff>
      <xdr:row>17</xdr:row>
      <xdr:rowOff>66675</xdr:rowOff>
    </xdr:to>
    <xdr:graphicFrame macro="">
      <xdr:nvGraphicFramePr>
        <xdr:cNvPr id="16" name="Chart 15">
          <a:extLst>
            <a:ext uri="{FF2B5EF4-FFF2-40B4-BE49-F238E27FC236}">
              <a16:creationId xmlns:a16="http://schemas.microsoft.com/office/drawing/2014/main" id="{5350E609-591A-4E19-BC9A-0416014C60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609599</xdr:colOff>
      <xdr:row>19</xdr:row>
      <xdr:rowOff>0</xdr:rowOff>
    </xdr:from>
    <xdr:to>
      <xdr:col>9</xdr:col>
      <xdr:colOff>590399</xdr:colOff>
      <xdr:row>33</xdr:row>
      <xdr:rowOff>76200</xdr:rowOff>
    </xdr:to>
    <xdr:graphicFrame macro="">
      <xdr:nvGraphicFramePr>
        <xdr:cNvPr id="17" name="Chart 16">
          <a:extLst>
            <a:ext uri="{FF2B5EF4-FFF2-40B4-BE49-F238E27FC236}">
              <a16:creationId xmlns:a16="http://schemas.microsoft.com/office/drawing/2014/main" id="{86FC312C-7678-4BD4-AA8E-490F33A5F8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190500</xdr:colOff>
      <xdr:row>18</xdr:row>
      <xdr:rowOff>180975</xdr:rowOff>
    </xdr:from>
    <xdr:to>
      <xdr:col>17</xdr:col>
      <xdr:colOff>171300</xdr:colOff>
      <xdr:row>33</xdr:row>
      <xdr:rowOff>66675</xdr:rowOff>
    </xdr:to>
    <xdr:graphicFrame macro="">
      <xdr:nvGraphicFramePr>
        <xdr:cNvPr id="18" name="Chart 17">
          <a:extLst>
            <a:ext uri="{FF2B5EF4-FFF2-40B4-BE49-F238E27FC236}">
              <a16:creationId xmlns:a16="http://schemas.microsoft.com/office/drawing/2014/main" id="{1322E69F-4126-4FF7-B23C-407B602D70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5</xdr:col>
      <xdr:colOff>349705</xdr:colOff>
      <xdr:row>0</xdr:row>
      <xdr:rowOff>85724</xdr:rowOff>
    </xdr:from>
    <xdr:to>
      <xdr:col>6</xdr:col>
      <xdr:colOff>311605</xdr:colOff>
      <xdr:row>2</xdr:row>
      <xdr:rowOff>19050</xdr:rowOff>
    </xdr:to>
    <xdr:pic>
      <xdr:nvPicPr>
        <xdr:cNvPr id="20" name="Graphic 19" descr="Upward trend">
          <a:extLst>
            <a:ext uri="{FF2B5EF4-FFF2-40B4-BE49-F238E27FC236}">
              <a16:creationId xmlns:a16="http://schemas.microsoft.com/office/drawing/2014/main" id="{1EEF6E80-BB1E-4647-8D0B-1830CB240A8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3411312" y="85724"/>
          <a:ext cx="574222" cy="314326"/>
        </a:xfrm>
        <a:prstGeom prst="rect">
          <a:avLst/>
        </a:prstGeom>
      </xdr:spPr>
    </xdr:pic>
    <xdr:clientData/>
  </xdr:twoCellAnchor>
  <xdr:twoCellAnchor editAs="oneCell">
    <xdr:from>
      <xdr:col>0</xdr:col>
      <xdr:colOff>108857</xdr:colOff>
      <xdr:row>5</xdr:row>
      <xdr:rowOff>8165</xdr:rowOff>
    </xdr:from>
    <xdr:to>
      <xdr:col>0</xdr:col>
      <xdr:colOff>451757</xdr:colOff>
      <xdr:row>6</xdr:row>
      <xdr:rowOff>131990</xdr:rowOff>
    </xdr:to>
    <xdr:pic>
      <xdr:nvPicPr>
        <xdr:cNvPr id="22" name="Graphic 21" descr="Rupee">
          <a:extLst>
            <a:ext uri="{FF2B5EF4-FFF2-40B4-BE49-F238E27FC236}">
              <a16:creationId xmlns:a16="http://schemas.microsoft.com/office/drawing/2014/main" id="{F730FEDA-0E03-42D1-AD25-8B74474B84AE}"/>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08857" y="960665"/>
          <a:ext cx="342900" cy="314325"/>
        </a:xfrm>
        <a:prstGeom prst="rect">
          <a:avLst/>
        </a:prstGeom>
      </xdr:spPr>
    </xdr:pic>
    <xdr:clientData/>
  </xdr:twoCellAnchor>
  <xdr:twoCellAnchor editAs="oneCell">
    <xdr:from>
      <xdr:col>0</xdr:col>
      <xdr:colOff>239485</xdr:colOff>
      <xdr:row>8</xdr:row>
      <xdr:rowOff>174170</xdr:rowOff>
    </xdr:from>
    <xdr:to>
      <xdr:col>0</xdr:col>
      <xdr:colOff>534760</xdr:colOff>
      <xdr:row>10</xdr:row>
      <xdr:rowOff>174171</xdr:rowOff>
    </xdr:to>
    <xdr:pic>
      <xdr:nvPicPr>
        <xdr:cNvPr id="28" name="Graphic 27" descr="Bar graph with upward trend">
          <a:extLst>
            <a:ext uri="{FF2B5EF4-FFF2-40B4-BE49-F238E27FC236}">
              <a16:creationId xmlns:a16="http://schemas.microsoft.com/office/drawing/2014/main" id="{1C369CCC-9C1E-4ED5-93C4-A1437B9E79D3}"/>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239485" y="1698170"/>
          <a:ext cx="295275" cy="381001"/>
        </a:xfrm>
        <a:prstGeom prst="rect">
          <a:avLst/>
        </a:prstGeom>
      </xdr:spPr>
    </xdr:pic>
    <xdr:clientData/>
  </xdr:twoCellAnchor>
  <xdr:twoCellAnchor editAs="oneCell">
    <xdr:from>
      <xdr:col>0</xdr:col>
      <xdr:colOff>220436</xdr:colOff>
      <xdr:row>12</xdr:row>
      <xdr:rowOff>104775</xdr:rowOff>
    </xdr:from>
    <xdr:to>
      <xdr:col>1</xdr:col>
      <xdr:colOff>74840</xdr:colOff>
      <xdr:row>14</xdr:row>
      <xdr:rowOff>180975</xdr:rowOff>
    </xdr:to>
    <xdr:pic>
      <xdr:nvPicPr>
        <xdr:cNvPr id="30" name="Graphic 29" descr="Gold bars">
          <a:extLst>
            <a:ext uri="{FF2B5EF4-FFF2-40B4-BE49-F238E27FC236}">
              <a16:creationId xmlns:a16="http://schemas.microsoft.com/office/drawing/2014/main" id="{498684A2-3823-412D-9BA2-BF95B9407836}"/>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220436" y="2390775"/>
          <a:ext cx="466725" cy="457200"/>
        </a:xfrm>
        <a:prstGeom prst="rect">
          <a:avLst/>
        </a:prstGeom>
      </xdr:spPr>
    </xdr:pic>
    <xdr:clientData/>
  </xdr:twoCellAnchor>
  <xdr:twoCellAnchor editAs="oneCell">
    <xdr:from>
      <xdr:col>0</xdr:col>
      <xdr:colOff>13607</xdr:colOff>
      <xdr:row>16</xdr:row>
      <xdr:rowOff>13608</xdr:rowOff>
    </xdr:from>
    <xdr:to>
      <xdr:col>2</xdr:col>
      <xdr:colOff>547007</xdr:colOff>
      <xdr:row>24</xdr:row>
      <xdr:rowOff>13608</xdr:rowOff>
    </xdr:to>
    <mc:AlternateContent xmlns:mc="http://schemas.openxmlformats.org/markup-compatibility/2006" xmlns:a14="http://schemas.microsoft.com/office/drawing/2010/main">
      <mc:Choice Requires="a14">
        <xdr:graphicFrame macro="">
          <xdr:nvGraphicFramePr>
            <xdr:cNvPr id="19" name="Category 1">
              <a:extLst>
                <a:ext uri="{FF2B5EF4-FFF2-40B4-BE49-F238E27FC236}">
                  <a16:creationId xmlns:a16="http://schemas.microsoft.com/office/drawing/2014/main" id="{AAEFCE51-D45F-449D-8274-28C64F43114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3607" y="3061608"/>
              <a:ext cx="1758043"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54428</xdr:colOff>
      <xdr:row>24</xdr:row>
      <xdr:rowOff>172811</xdr:rowOff>
    </xdr:from>
    <xdr:to>
      <xdr:col>2</xdr:col>
      <xdr:colOff>568778</xdr:colOff>
      <xdr:row>32</xdr:row>
      <xdr:rowOff>77561</xdr:rowOff>
    </xdr:to>
    <mc:AlternateContent xmlns:mc="http://schemas.openxmlformats.org/markup-compatibility/2006" xmlns:a14="http://schemas.microsoft.com/office/drawing/2010/main">
      <mc:Choice Requires="a14">
        <xdr:graphicFrame macro="">
          <xdr:nvGraphicFramePr>
            <xdr:cNvPr id="21" name="Region 1">
              <a:extLst>
                <a:ext uri="{FF2B5EF4-FFF2-40B4-BE49-F238E27FC236}">
                  <a16:creationId xmlns:a16="http://schemas.microsoft.com/office/drawing/2014/main" id="{819430A9-9263-4FE3-8D4D-34D60A390A1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54428" y="4744811"/>
              <a:ext cx="1738993" cy="1428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323850</xdr:colOff>
      <xdr:row>3</xdr:row>
      <xdr:rowOff>19049</xdr:rowOff>
    </xdr:from>
    <xdr:to>
      <xdr:col>20</xdr:col>
      <xdr:colOff>323850</xdr:colOff>
      <xdr:row>29</xdr:row>
      <xdr:rowOff>93689</xdr:rowOff>
    </xdr:to>
    <mc:AlternateContent xmlns:mc="http://schemas.openxmlformats.org/markup-compatibility/2006" xmlns:a14="http://schemas.microsoft.com/office/drawing/2010/main">
      <mc:Choice Requires="a14">
        <xdr:graphicFrame macro="">
          <xdr:nvGraphicFramePr>
            <xdr:cNvPr id="23" name="Product 1">
              <a:extLst>
                <a:ext uri="{FF2B5EF4-FFF2-40B4-BE49-F238E27FC236}">
                  <a16:creationId xmlns:a16="http://schemas.microsoft.com/office/drawing/2014/main" id="{A5D7A162-BCAB-42D2-90C2-D7C00CC92F40}"/>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0733314" y="590549"/>
              <a:ext cx="1836965" cy="5027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xdr:row>
      <xdr:rowOff>108857</xdr:rowOff>
    </xdr:from>
    <xdr:to>
      <xdr:col>2</xdr:col>
      <xdr:colOff>571499</xdr:colOff>
      <xdr:row>33</xdr:row>
      <xdr:rowOff>136074</xdr:rowOff>
    </xdr:to>
    <xdr:sp macro="" textlink="">
      <xdr:nvSpPr>
        <xdr:cNvPr id="3" name="Rectangle: Rounded Corners 2">
          <a:extLst>
            <a:ext uri="{FF2B5EF4-FFF2-40B4-BE49-F238E27FC236}">
              <a16:creationId xmlns:a16="http://schemas.microsoft.com/office/drawing/2014/main" id="{8C978E1D-1578-4F91-9C36-ACD2EEDCBD46}"/>
            </a:ext>
          </a:extLst>
        </xdr:cNvPr>
        <xdr:cNvSpPr/>
      </xdr:nvSpPr>
      <xdr:spPr>
        <a:xfrm rot="5400000">
          <a:off x="-2068288" y="2558145"/>
          <a:ext cx="5932717" cy="1796142"/>
        </a:xfrm>
        <a:prstGeom prst="roundRect">
          <a:avLst/>
        </a:prstGeom>
        <a:no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ysClr val="windowText" lastClr="000000"/>
            </a:solidFill>
          </a:endParaRPr>
        </a:p>
      </xdr:txBody>
    </xdr:sp>
    <xdr:clientData/>
  </xdr:twoCellAnchor>
  <xdr:twoCellAnchor>
    <xdr:from>
      <xdr:col>3</xdr:col>
      <xdr:colOff>47622</xdr:colOff>
      <xdr:row>2</xdr:row>
      <xdr:rowOff>183699</xdr:rowOff>
    </xdr:from>
    <xdr:to>
      <xdr:col>17</xdr:col>
      <xdr:colOff>176895</xdr:colOff>
      <xdr:row>17</xdr:row>
      <xdr:rowOff>95251</xdr:rowOff>
    </xdr:to>
    <xdr:sp macro="" textlink="">
      <xdr:nvSpPr>
        <xdr:cNvPr id="6" name="Rectangle 5">
          <a:extLst>
            <a:ext uri="{FF2B5EF4-FFF2-40B4-BE49-F238E27FC236}">
              <a16:creationId xmlns:a16="http://schemas.microsoft.com/office/drawing/2014/main" id="{96867680-962F-4EA9-BEFC-A353D1C5325B}"/>
            </a:ext>
          </a:extLst>
        </xdr:cNvPr>
        <xdr:cNvSpPr/>
      </xdr:nvSpPr>
      <xdr:spPr>
        <a:xfrm rot="5400000">
          <a:off x="4850947" y="-2401662"/>
          <a:ext cx="2769052" cy="8701773"/>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13606</xdr:colOff>
      <xdr:row>18</xdr:row>
      <xdr:rowOff>176894</xdr:rowOff>
    </xdr:from>
    <xdr:to>
      <xdr:col>17</xdr:col>
      <xdr:colOff>183703</xdr:colOff>
      <xdr:row>33</xdr:row>
      <xdr:rowOff>88446</xdr:rowOff>
    </xdr:to>
    <xdr:sp macro="" textlink="">
      <xdr:nvSpPr>
        <xdr:cNvPr id="24" name="Rectangle 23">
          <a:extLst>
            <a:ext uri="{FF2B5EF4-FFF2-40B4-BE49-F238E27FC236}">
              <a16:creationId xmlns:a16="http://schemas.microsoft.com/office/drawing/2014/main" id="{F66C7FFD-3ADE-4573-AC4B-FFDD4CA888EA}"/>
            </a:ext>
          </a:extLst>
        </xdr:cNvPr>
        <xdr:cNvSpPr/>
      </xdr:nvSpPr>
      <xdr:spPr>
        <a:xfrm rot="5400000">
          <a:off x="4837343" y="619121"/>
          <a:ext cx="2769052" cy="8742597"/>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35.569031712963" createdVersion="6" refreshedVersion="6" minRefreshableVersion="3" recordCount="30" xr:uid="{6BE5C49C-1F83-4DB8-BD95-53D1E04BFA9F}">
  <cacheSource type="worksheet">
    <worksheetSource name="Table1"/>
  </cacheSource>
  <cacheFields count="11">
    <cacheField name="Date" numFmtId="14">
      <sharedItems containsSemiMixedTypes="0" containsNonDate="0" containsDate="1" containsString="0" minDate="2025-01-01T00:00:00" maxDate="2025-01-16T00:00:00" count="15">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sharedItems>
      <fieldGroup base="0">
        <rangePr groupBy="months" startDate="2025-01-01T00:00:00" endDate="2025-01-16T00:00:00"/>
        <groupItems count="14">
          <s v="&lt;01-01-2025"/>
          <s v="Jan"/>
          <s v="Feb"/>
          <s v="Mar"/>
          <s v="Apr"/>
          <s v="May"/>
          <s v="Jun"/>
          <s v="Jul"/>
          <s v="Aug"/>
          <s v="Sep"/>
          <s v="Oct"/>
          <s v="Nov"/>
          <s v="Dec"/>
          <s v="&gt;16-01-2025"/>
        </groupItems>
      </fieldGroup>
    </cacheField>
    <cacheField name="Order_ID" numFmtId="0">
      <sharedItems/>
    </cacheField>
    <cacheField name="Product" numFmtId="0">
      <sharedItems count="17">
        <s v="Apple"/>
        <s v="Banana"/>
        <s v="Milk"/>
        <s v="Bread"/>
        <s v="Rice"/>
        <s v="Oil"/>
        <s v="Cheese"/>
        <s v="Cake"/>
        <s v="Orange"/>
        <s v="Yogurt"/>
        <s v="Wheat"/>
        <s v="Butter"/>
        <s v="Mango"/>
        <s v="Biscuits"/>
        <s v="Sugar"/>
        <s v="Ice Cream"/>
        <s v="Grapes"/>
      </sharedItems>
    </cacheField>
    <cacheField name="Category" numFmtId="0">
      <sharedItems count="4">
        <s v="Fruits"/>
        <s v="Dairy"/>
        <s v="Bakery"/>
        <s v="Grocery"/>
      </sharedItems>
    </cacheField>
    <cacheField name="Region" numFmtId="0">
      <sharedItems count="4">
        <s v="South"/>
        <s v="North"/>
        <s v="East"/>
        <s v="West"/>
      </sharedItems>
    </cacheField>
    <cacheField name="Quantity" numFmtId="0">
      <sharedItems containsSemiMixedTypes="0" containsString="0" containsNumber="1" containsInteger="1" minValue="4" maxValue="30"/>
    </cacheField>
    <cacheField name="Unit_Price" numFmtId="0">
      <sharedItems containsSemiMixedTypes="0" containsString="0" containsNumber="1" containsInteger="1" minValue="30" maxValue="320"/>
    </cacheField>
    <cacheField name="Cost_Price" numFmtId="0">
      <sharedItems containsSemiMixedTypes="0" containsString="0" containsNumber="1" containsInteger="1" minValue="18" maxValue="250"/>
    </cacheField>
    <cacheField name="Revenue" numFmtId="0">
      <sharedItems containsSemiMixedTypes="0" containsString="0" containsNumber="1" containsInteger="1" minValue="440" maxValue="1920"/>
    </cacheField>
    <cacheField name="Cost" numFmtId="0">
      <sharedItems containsSemiMixedTypes="0" containsString="0" containsNumber="1" containsInteger="1" minValue="280" maxValue="1500"/>
    </cacheField>
    <cacheField name="Profit" numFmtId="0">
      <sharedItems containsSemiMixedTypes="0" containsString="0" containsNumber="1" containsInteger="1" minValue="150" maxValue="600"/>
    </cacheField>
  </cacheFields>
  <extLst>
    <ext xmlns:x14="http://schemas.microsoft.com/office/spreadsheetml/2009/9/main" uri="{725AE2AE-9491-48be-B2B4-4EB974FC3084}">
      <x14:pivotCacheDefinition pivotCacheId="13202813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s v="ORD1001"/>
    <x v="0"/>
    <x v="0"/>
    <x v="0"/>
    <n v="10"/>
    <n v="120"/>
    <n v="80"/>
    <n v="1200"/>
    <n v="800"/>
    <n v="400"/>
  </r>
  <r>
    <x v="0"/>
    <s v="ORD1002"/>
    <x v="1"/>
    <x v="0"/>
    <x v="1"/>
    <n v="15"/>
    <n v="40"/>
    <n v="20"/>
    <n v="600"/>
    <n v="300"/>
    <n v="300"/>
  </r>
  <r>
    <x v="1"/>
    <s v="ORD1003"/>
    <x v="2"/>
    <x v="1"/>
    <x v="2"/>
    <n v="8"/>
    <n v="55"/>
    <n v="35"/>
    <n v="440"/>
    <n v="280"/>
    <n v="160"/>
  </r>
  <r>
    <x v="1"/>
    <s v="ORD1004"/>
    <x v="3"/>
    <x v="2"/>
    <x v="3"/>
    <n v="12"/>
    <n v="45"/>
    <n v="30"/>
    <n v="540"/>
    <n v="360"/>
    <n v="180"/>
  </r>
  <r>
    <x v="2"/>
    <s v="ORD1005"/>
    <x v="4"/>
    <x v="3"/>
    <x v="0"/>
    <n v="20"/>
    <n v="60"/>
    <n v="45"/>
    <n v="1200"/>
    <n v="900"/>
    <n v="300"/>
  </r>
  <r>
    <x v="2"/>
    <s v="ORD1006"/>
    <x v="5"/>
    <x v="3"/>
    <x v="1"/>
    <n v="6"/>
    <n v="180"/>
    <n v="150"/>
    <n v="1080"/>
    <n v="900"/>
    <n v="180"/>
  </r>
  <r>
    <x v="3"/>
    <s v="ORD1007"/>
    <x v="6"/>
    <x v="1"/>
    <x v="2"/>
    <n v="5"/>
    <n v="250"/>
    <n v="200"/>
    <n v="1250"/>
    <n v="1000"/>
    <n v="250"/>
  </r>
  <r>
    <x v="3"/>
    <s v="ORD1008"/>
    <x v="7"/>
    <x v="2"/>
    <x v="3"/>
    <n v="4"/>
    <n v="300"/>
    <n v="220"/>
    <n v="1200"/>
    <n v="880"/>
    <n v="320"/>
  </r>
  <r>
    <x v="4"/>
    <s v="ORD1009"/>
    <x v="8"/>
    <x v="0"/>
    <x v="0"/>
    <n v="18"/>
    <n v="90"/>
    <n v="60"/>
    <n v="1620"/>
    <n v="1080"/>
    <n v="540"/>
  </r>
  <r>
    <x v="4"/>
    <s v="ORD1010"/>
    <x v="9"/>
    <x v="1"/>
    <x v="1"/>
    <n v="10"/>
    <n v="70"/>
    <n v="50"/>
    <n v="700"/>
    <n v="500"/>
    <n v="200"/>
  </r>
  <r>
    <x v="5"/>
    <s v="ORD1011"/>
    <x v="10"/>
    <x v="3"/>
    <x v="2"/>
    <n v="25"/>
    <n v="55"/>
    <n v="40"/>
    <n v="1375"/>
    <n v="1000"/>
    <n v="375"/>
  </r>
  <r>
    <x v="5"/>
    <s v="ORD1012"/>
    <x v="11"/>
    <x v="1"/>
    <x v="3"/>
    <n v="6"/>
    <n v="220"/>
    <n v="180"/>
    <n v="1320"/>
    <n v="1080"/>
    <n v="240"/>
  </r>
  <r>
    <x v="6"/>
    <s v="ORD1013"/>
    <x v="12"/>
    <x v="0"/>
    <x v="0"/>
    <n v="12"/>
    <n v="150"/>
    <n v="100"/>
    <n v="1800"/>
    <n v="1200"/>
    <n v="600"/>
  </r>
  <r>
    <x v="6"/>
    <s v="ORD1014"/>
    <x v="13"/>
    <x v="2"/>
    <x v="1"/>
    <n v="20"/>
    <n v="30"/>
    <n v="18"/>
    <n v="600"/>
    <n v="360"/>
    <n v="240"/>
  </r>
  <r>
    <x v="7"/>
    <s v="ORD1015"/>
    <x v="14"/>
    <x v="3"/>
    <x v="2"/>
    <n v="15"/>
    <n v="50"/>
    <n v="38"/>
    <n v="750"/>
    <n v="570"/>
    <n v="180"/>
  </r>
  <r>
    <x v="7"/>
    <s v="ORD1016"/>
    <x v="15"/>
    <x v="1"/>
    <x v="3"/>
    <n v="7"/>
    <n v="160"/>
    <n v="120"/>
    <n v="1120"/>
    <n v="840"/>
    <n v="280"/>
  </r>
  <r>
    <x v="8"/>
    <s v="ORD1017"/>
    <x v="16"/>
    <x v="0"/>
    <x v="0"/>
    <n v="14"/>
    <n v="110"/>
    <n v="75"/>
    <n v="1540"/>
    <n v="1050"/>
    <n v="490"/>
  </r>
  <r>
    <x v="8"/>
    <s v="ORD1018"/>
    <x v="7"/>
    <x v="2"/>
    <x v="1"/>
    <n v="6"/>
    <n v="320"/>
    <n v="250"/>
    <n v="1920"/>
    <n v="1500"/>
    <n v="420"/>
  </r>
  <r>
    <x v="9"/>
    <s v="ORD1019"/>
    <x v="4"/>
    <x v="3"/>
    <x v="2"/>
    <n v="18"/>
    <n v="62"/>
    <n v="48"/>
    <n v="1116"/>
    <n v="864"/>
    <n v="252"/>
  </r>
  <r>
    <x v="9"/>
    <s v="ORD1020"/>
    <x v="2"/>
    <x v="1"/>
    <x v="3"/>
    <n v="12"/>
    <n v="58"/>
    <n v="38"/>
    <n v="696"/>
    <n v="456"/>
    <n v="240"/>
  </r>
  <r>
    <x v="10"/>
    <s v="ORD1021"/>
    <x v="0"/>
    <x v="0"/>
    <x v="1"/>
    <n v="9"/>
    <n v="125"/>
    <n v="85"/>
    <n v="1125"/>
    <n v="765"/>
    <n v="360"/>
  </r>
  <r>
    <x v="10"/>
    <s v="ORD1022"/>
    <x v="3"/>
    <x v="2"/>
    <x v="0"/>
    <n v="14"/>
    <n v="48"/>
    <n v="32"/>
    <n v="672"/>
    <n v="448"/>
    <n v="224"/>
  </r>
  <r>
    <x v="11"/>
    <s v="ORD1023"/>
    <x v="5"/>
    <x v="3"/>
    <x v="3"/>
    <n v="5"/>
    <n v="185"/>
    <n v="155"/>
    <n v="925"/>
    <n v="775"/>
    <n v="150"/>
  </r>
  <r>
    <x v="11"/>
    <s v="ORD1024"/>
    <x v="6"/>
    <x v="1"/>
    <x v="2"/>
    <n v="6"/>
    <n v="255"/>
    <n v="210"/>
    <n v="1530"/>
    <n v="1260"/>
    <n v="270"/>
  </r>
  <r>
    <x v="12"/>
    <s v="ORD1025"/>
    <x v="1"/>
    <x v="0"/>
    <x v="0"/>
    <n v="22"/>
    <n v="42"/>
    <n v="22"/>
    <n v="924"/>
    <n v="484"/>
    <n v="440"/>
  </r>
  <r>
    <x v="12"/>
    <s v="ORD1026"/>
    <x v="13"/>
    <x v="2"/>
    <x v="2"/>
    <n v="18"/>
    <n v="35"/>
    <n v="20"/>
    <n v="630"/>
    <n v="360"/>
    <n v="270"/>
  </r>
  <r>
    <x v="13"/>
    <s v="ORD1027"/>
    <x v="10"/>
    <x v="3"/>
    <x v="1"/>
    <n v="30"/>
    <n v="58"/>
    <n v="42"/>
    <n v="1740"/>
    <n v="1260"/>
    <n v="480"/>
  </r>
  <r>
    <x v="13"/>
    <s v="ORD1028"/>
    <x v="9"/>
    <x v="1"/>
    <x v="3"/>
    <n v="11"/>
    <n v="75"/>
    <n v="55"/>
    <n v="825"/>
    <n v="605"/>
    <n v="220"/>
  </r>
  <r>
    <x v="14"/>
    <s v="ORD1029"/>
    <x v="8"/>
    <x v="0"/>
    <x v="2"/>
    <n v="16"/>
    <n v="95"/>
    <n v="65"/>
    <n v="1520"/>
    <n v="1040"/>
    <n v="480"/>
  </r>
  <r>
    <x v="14"/>
    <s v="ORD1030"/>
    <x v="11"/>
    <x v="1"/>
    <x v="0"/>
    <n v="7"/>
    <n v="230"/>
    <n v="190"/>
    <n v="1610"/>
    <n v="1330"/>
    <n v="2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E941AF-E2A2-431C-9F7C-A693886C3F2D}" name="PivotTable3"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28:G45" firstHeaderRow="1" firstDataRow="1" firstDataCol="0"/>
  <pivotFields count="11">
    <pivotField numFmtId="14"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B07688-62C3-47D1-955D-888910B9D811}" name="PivotTable6"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D3:F21" firstHeaderRow="0" firstDataRow="1" firstDataCol="1"/>
  <pivotFields count="11">
    <pivotField numFmtId="14" showAll="0">
      <items count="15">
        <item x="0"/>
        <item x="1"/>
        <item x="2"/>
        <item x="3"/>
        <item x="4"/>
        <item x="5"/>
        <item x="6"/>
        <item x="7"/>
        <item x="8"/>
        <item x="9"/>
        <item x="10"/>
        <item x="11"/>
        <item x="12"/>
        <item x="13"/>
        <item t="default"/>
      </items>
    </pivotField>
    <pivotField showAll="0"/>
    <pivotField axis="axisRow" showAll="0" sortType="descending">
      <items count="18">
        <item x="0"/>
        <item x="1"/>
        <item x="13"/>
        <item x="3"/>
        <item x="11"/>
        <item x="7"/>
        <item x="6"/>
        <item x="16"/>
        <item x="15"/>
        <item x="12"/>
        <item x="2"/>
        <item x="5"/>
        <item x="8"/>
        <item x="4"/>
        <item x="14"/>
        <item x="10"/>
        <item x="9"/>
        <item t="default"/>
      </items>
      <autoSortScope>
        <pivotArea dataOnly="0" outline="0" fieldPosition="0">
          <references count="1">
            <reference field="4294967294" count="1" selected="0">
              <x v="0"/>
            </reference>
          </references>
        </pivotArea>
      </autoSortScope>
    </pivotField>
    <pivotField showAll="0">
      <items count="5">
        <item x="2"/>
        <item x="1"/>
        <item x="0"/>
        <item x="3"/>
        <item t="default"/>
      </items>
    </pivotField>
    <pivotField showAll="0">
      <items count="5">
        <item x="2"/>
        <item x="1"/>
        <item x="0"/>
        <item x="3"/>
        <item t="default"/>
      </items>
    </pivotField>
    <pivotField showAll="0"/>
    <pivotField showAll="0"/>
    <pivotField showAll="0"/>
    <pivotField dataField="1" showAll="0"/>
    <pivotField showAll="0"/>
    <pivotField dataField="1" showAll="0"/>
  </pivotFields>
  <rowFields count="1">
    <field x="2"/>
  </rowFields>
  <rowItems count="18">
    <i>
      <x v="12"/>
    </i>
    <i>
      <x v="5"/>
    </i>
    <i>
      <x v="15"/>
    </i>
    <i>
      <x v="4"/>
    </i>
    <i>
      <x v="6"/>
    </i>
    <i>
      <x/>
    </i>
    <i>
      <x v="13"/>
    </i>
    <i>
      <x v="11"/>
    </i>
    <i>
      <x v="9"/>
    </i>
    <i>
      <x v="7"/>
    </i>
    <i>
      <x v="16"/>
    </i>
    <i>
      <x v="1"/>
    </i>
    <i>
      <x v="2"/>
    </i>
    <i>
      <x v="3"/>
    </i>
    <i>
      <x v="10"/>
    </i>
    <i>
      <x v="8"/>
    </i>
    <i>
      <x v="14"/>
    </i>
    <i t="grand">
      <x/>
    </i>
  </rowItems>
  <colFields count="1">
    <field x="-2"/>
  </colFields>
  <colItems count="2">
    <i>
      <x/>
    </i>
    <i i="1">
      <x v="1"/>
    </i>
  </colItems>
  <dataFields count="2">
    <dataField name="Sum of Revenue" fld="8" baseField="0" baseItem="0"/>
    <dataField name="Sum of Profit" fld="1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6291E3-37EA-46EF-84A5-21FB2977FAF4}" name="PivotTable4"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5" firstHeaderRow="1" firstDataRow="1" firstDataCol="1"/>
  <pivotFields count="11">
    <pivotField axis="axisRow" numFmtId="14" showAll="0">
      <items count="15">
        <item x="0"/>
        <item x="1"/>
        <item x="2"/>
        <item x="3"/>
        <item x="4"/>
        <item x="5"/>
        <item x="6"/>
        <item x="7"/>
        <item x="8"/>
        <item x="9"/>
        <item x="10"/>
        <item x="11"/>
        <item x="12"/>
        <item x="13"/>
        <item t="default"/>
      </items>
    </pivotField>
    <pivotField showAll="0"/>
    <pivotField showAll="0">
      <items count="18">
        <item x="0"/>
        <item x="1"/>
        <item x="13"/>
        <item x="3"/>
        <item x="11"/>
        <item x="7"/>
        <item x="6"/>
        <item x="16"/>
        <item x="15"/>
        <item x="12"/>
        <item x="2"/>
        <item x="5"/>
        <item x="8"/>
        <item x="4"/>
        <item x="14"/>
        <item x="10"/>
        <item x="9"/>
        <item t="default"/>
      </items>
    </pivotField>
    <pivotField showAll="0">
      <items count="5">
        <item x="2"/>
        <item x="1"/>
        <item x="0"/>
        <item x="3"/>
        <item t="default"/>
      </items>
    </pivotField>
    <pivotField showAll="0">
      <items count="5">
        <item x="2"/>
        <item x="1"/>
        <item x="0"/>
        <item x="3"/>
        <item t="default"/>
      </items>
    </pivotField>
    <pivotField showAll="0"/>
    <pivotField showAll="0"/>
    <pivotField showAll="0"/>
    <pivotField dataField="1" showAll="0"/>
    <pivotField showAll="0"/>
    <pivotField showAll="0"/>
  </pivotFields>
  <rowFields count="1">
    <field x="0"/>
  </rowFields>
  <rowItems count="2">
    <i>
      <x v="1"/>
    </i>
    <i t="grand">
      <x/>
    </i>
  </rowItems>
  <colItems count="1">
    <i/>
  </colItems>
  <dataFields count="1">
    <dataField name="Sum of Revenue"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BDD7EC-7A91-474D-9233-C4ADCA98E6F6}" name="PivotTable8"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H10:I15" firstHeaderRow="1" firstDataRow="1" firstDataCol="1"/>
  <pivotFields count="11">
    <pivotField numFmtId="14" showAll="0">
      <items count="15">
        <item x="0"/>
        <item x="1"/>
        <item x="2"/>
        <item x="3"/>
        <item x="4"/>
        <item x="5"/>
        <item x="6"/>
        <item x="7"/>
        <item x="8"/>
        <item x="9"/>
        <item x="10"/>
        <item x="11"/>
        <item x="12"/>
        <item x="13"/>
        <item t="default"/>
      </items>
    </pivotField>
    <pivotField showAll="0"/>
    <pivotField showAll="0">
      <items count="18">
        <item x="0"/>
        <item x="1"/>
        <item x="13"/>
        <item x="3"/>
        <item x="11"/>
        <item x="7"/>
        <item x="6"/>
        <item x="16"/>
        <item x="15"/>
        <item x="12"/>
        <item x="2"/>
        <item x="5"/>
        <item x="8"/>
        <item x="4"/>
        <item x="14"/>
        <item x="10"/>
        <item x="9"/>
        <item t="default"/>
      </items>
    </pivotField>
    <pivotField showAll="0">
      <items count="5">
        <item x="2"/>
        <item x="1"/>
        <item x="0"/>
        <item x="3"/>
        <item t="default"/>
      </items>
    </pivotField>
    <pivotField axis="axisRow" showAll="0">
      <items count="5">
        <item x="2"/>
        <item x="1"/>
        <item x="0"/>
        <item x="3"/>
        <item t="default"/>
      </items>
    </pivotField>
    <pivotField showAll="0"/>
    <pivotField showAll="0"/>
    <pivotField showAll="0"/>
    <pivotField dataField="1" showAll="0"/>
    <pivotField showAll="0"/>
    <pivotField showAll="0"/>
  </pivotFields>
  <rowFields count="1">
    <field x="4"/>
  </rowFields>
  <rowItems count="5">
    <i>
      <x/>
    </i>
    <i>
      <x v="1"/>
    </i>
    <i>
      <x v="2"/>
    </i>
    <i>
      <x v="3"/>
    </i>
    <i t="grand">
      <x/>
    </i>
  </rowItems>
  <colItems count="1">
    <i/>
  </colItems>
  <dataFields count="1">
    <dataField name="Sum of Revenue" fld="8" baseField="0" baseItem="0"/>
  </dataField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7F2C8F6-9C7F-437A-B0D4-E374ACF45A10}" name="PivotTable7"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H3:J8" firstHeaderRow="0" firstDataRow="1" firstDataCol="1"/>
  <pivotFields count="11">
    <pivotField numFmtId="14" showAll="0">
      <items count="15">
        <item x="0"/>
        <item x="1"/>
        <item x="2"/>
        <item x="3"/>
        <item x="4"/>
        <item x="5"/>
        <item x="6"/>
        <item x="7"/>
        <item x="8"/>
        <item x="9"/>
        <item x="10"/>
        <item x="11"/>
        <item x="12"/>
        <item x="13"/>
        <item t="default"/>
      </items>
    </pivotField>
    <pivotField showAll="0"/>
    <pivotField showAll="0">
      <items count="18">
        <item x="0"/>
        <item x="1"/>
        <item x="13"/>
        <item x="3"/>
        <item x="11"/>
        <item x="7"/>
        <item x="6"/>
        <item x="16"/>
        <item x="15"/>
        <item x="12"/>
        <item x="2"/>
        <item x="5"/>
        <item x="8"/>
        <item x="4"/>
        <item x="14"/>
        <item x="10"/>
        <item x="9"/>
        <item t="default"/>
      </items>
    </pivotField>
    <pivotField axis="axisRow" showAll="0">
      <items count="5">
        <item x="2"/>
        <item x="1"/>
        <item x="0"/>
        <item x="3"/>
        <item t="default"/>
      </items>
    </pivotField>
    <pivotField showAll="0">
      <items count="5">
        <item x="2"/>
        <item x="1"/>
        <item x="0"/>
        <item x="3"/>
        <item t="default"/>
      </items>
    </pivotField>
    <pivotField showAll="0"/>
    <pivotField showAll="0"/>
    <pivotField showAll="0"/>
    <pivotField dataField="1" showAll="0"/>
    <pivotField showAll="0"/>
    <pivotField dataField="1" showAll="0"/>
  </pivotFields>
  <rowFields count="1">
    <field x="3"/>
  </rowFields>
  <rowItems count="5">
    <i>
      <x/>
    </i>
    <i>
      <x v="1"/>
    </i>
    <i>
      <x v="2"/>
    </i>
    <i>
      <x v="3"/>
    </i>
    <i t="grand">
      <x/>
    </i>
  </rowItems>
  <colFields count="1">
    <field x="-2"/>
  </colFields>
  <colItems count="2">
    <i>
      <x/>
    </i>
    <i i="1">
      <x v="1"/>
    </i>
  </colItems>
  <dataFields count="2">
    <dataField name="Sum of Revenue" fld="8" baseField="0" baseItem="0"/>
    <dataField name="Sum of Profit" fld="10" baseField="0" baseItem="0"/>
  </dataFields>
  <chartFormats count="2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0" format="3">
      <pivotArea type="data" outline="0" fieldPosition="0">
        <references count="2">
          <reference field="4294967294" count="1" selected="0">
            <x v="0"/>
          </reference>
          <reference field="3" count="1" selected="0">
            <x v="1"/>
          </reference>
        </references>
      </pivotArea>
    </chartFormat>
    <chartFormat chart="0" format="4">
      <pivotArea type="data" outline="0" fieldPosition="0">
        <references count="2">
          <reference field="4294967294" count="1" selected="0">
            <x v="0"/>
          </reference>
          <reference field="3" count="1" selected="0">
            <x v="2"/>
          </reference>
        </references>
      </pivotArea>
    </chartFormat>
    <chartFormat chart="0" format="5">
      <pivotArea type="data" outline="0" fieldPosition="0">
        <references count="2">
          <reference field="4294967294" count="1" selected="0">
            <x v="0"/>
          </reference>
          <reference field="3" count="1" selected="0">
            <x v="3"/>
          </reference>
        </references>
      </pivotArea>
    </chartFormat>
    <chartFormat chart="0" format="6">
      <pivotArea type="data" outline="0" fieldPosition="0">
        <references count="2">
          <reference field="4294967294" count="1" selected="0">
            <x v="1"/>
          </reference>
          <reference field="3" count="1" selected="0">
            <x v="0"/>
          </reference>
        </references>
      </pivotArea>
    </chartFormat>
    <chartFormat chart="0" format="7">
      <pivotArea type="data" outline="0" fieldPosition="0">
        <references count="2">
          <reference field="4294967294" count="1" selected="0">
            <x v="1"/>
          </reference>
          <reference field="3" count="1" selected="0">
            <x v="1"/>
          </reference>
        </references>
      </pivotArea>
    </chartFormat>
    <chartFormat chart="0" format="8">
      <pivotArea type="data" outline="0" fieldPosition="0">
        <references count="2">
          <reference field="4294967294" count="1" selected="0">
            <x v="1"/>
          </reference>
          <reference field="3" count="1" selected="0">
            <x v="2"/>
          </reference>
        </references>
      </pivotArea>
    </chartFormat>
    <chartFormat chart="0" format="9">
      <pivotArea type="data" outline="0" fieldPosition="0">
        <references count="2">
          <reference field="4294967294" count="1" selected="0">
            <x v="1"/>
          </reference>
          <reference field="3" count="1" selected="0">
            <x v="3"/>
          </reference>
        </references>
      </pivotArea>
    </chartFormat>
    <chartFormat chart="2" format="20" series="1">
      <pivotArea type="data" outline="0" fieldPosition="0">
        <references count="1">
          <reference field="4294967294" count="1" selected="0">
            <x v="0"/>
          </reference>
        </references>
      </pivotArea>
    </chartFormat>
    <chartFormat chart="2" format="21">
      <pivotArea type="data" outline="0" fieldPosition="0">
        <references count="2">
          <reference field="4294967294" count="1" selected="0">
            <x v="0"/>
          </reference>
          <reference field="3" count="1" selected="0">
            <x v="0"/>
          </reference>
        </references>
      </pivotArea>
    </chartFormat>
    <chartFormat chart="2" format="22">
      <pivotArea type="data" outline="0" fieldPosition="0">
        <references count="2">
          <reference field="4294967294" count="1" selected="0">
            <x v="0"/>
          </reference>
          <reference field="3" count="1" selected="0">
            <x v="1"/>
          </reference>
        </references>
      </pivotArea>
    </chartFormat>
    <chartFormat chart="2" format="23">
      <pivotArea type="data" outline="0" fieldPosition="0">
        <references count="2">
          <reference field="4294967294" count="1" selected="0">
            <x v="0"/>
          </reference>
          <reference field="3" count="1" selected="0">
            <x v="2"/>
          </reference>
        </references>
      </pivotArea>
    </chartFormat>
    <chartFormat chart="2" format="24">
      <pivotArea type="data" outline="0" fieldPosition="0">
        <references count="2">
          <reference field="4294967294" count="1" selected="0">
            <x v="0"/>
          </reference>
          <reference field="3" count="1" selected="0">
            <x v="3"/>
          </reference>
        </references>
      </pivotArea>
    </chartFormat>
    <chartFormat chart="2" format="25" series="1">
      <pivotArea type="data" outline="0" fieldPosition="0">
        <references count="1">
          <reference field="4294967294" count="1" selected="0">
            <x v="1"/>
          </reference>
        </references>
      </pivotArea>
    </chartFormat>
    <chartFormat chart="2" format="26">
      <pivotArea type="data" outline="0" fieldPosition="0">
        <references count="2">
          <reference field="4294967294" count="1" selected="0">
            <x v="1"/>
          </reference>
          <reference field="3" count="1" selected="0">
            <x v="0"/>
          </reference>
        </references>
      </pivotArea>
    </chartFormat>
    <chartFormat chart="2" format="27">
      <pivotArea type="data" outline="0" fieldPosition="0">
        <references count="2">
          <reference field="4294967294" count="1" selected="0">
            <x v="1"/>
          </reference>
          <reference field="3" count="1" selected="0">
            <x v="1"/>
          </reference>
        </references>
      </pivotArea>
    </chartFormat>
    <chartFormat chart="2" format="28">
      <pivotArea type="data" outline="0" fieldPosition="0">
        <references count="2">
          <reference field="4294967294" count="1" selected="0">
            <x v="1"/>
          </reference>
          <reference field="3" count="1" selected="0">
            <x v="2"/>
          </reference>
        </references>
      </pivotArea>
    </chartFormat>
    <chartFormat chart="2" format="29">
      <pivotArea type="data" outline="0" fieldPosition="0">
        <references count="2">
          <reference field="4294967294" count="1" selected="0">
            <x v="1"/>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ED6214F-3E69-42BF-A15C-038772049A62}" sourceName="Category">
  <pivotTables>
    <pivotTable tabId="6" name="PivotTable7"/>
    <pivotTable tabId="6" name="PivotTable4"/>
    <pivotTable tabId="6" name="PivotTable6"/>
    <pivotTable tabId="6" name="PivotTable8"/>
  </pivotTables>
  <data>
    <tabular pivotCacheId="1320281355">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6182181-0950-4FB4-AC67-C586A6D85632}" sourceName="Region">
  <pivotTables>
    <pivotTable tabId="6" name="PivotTable7"/>
    <pivotTable tabId="6" name="PivotTable4"/>
    <pivotTable tabId="6" name="PivotTable6"/>
    <pivotTable tabId="6" name="PivotTable8"/>
  </pivotTables>
  <data>
    <tabular pivotCacheId="1320281355">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77CB713A-DBA1-445D-9903-C4B84BA2599D}" sourceName="Product">
  <pivotTables>
    <pivotTable tabId="6" name="PivotTable7"/>
    <pivotTable tabId="6" name="PivotTable4"/>
    <pivotTable tabId="6" name="PivotTable6"/>
    <pivotTable tabId="6" name="PivotTable8"/>
  </pivotTables>
  <data>
    <tabular pivotCacheId="1320281355">
      <items count="17">
        <i x="0" s="1"/>
        <i x="1" s="1"/>
        <i x="13" s="1"/>
        <i x="3" s="1"/>
        <i x="11" s="1"/>
        <i x="7" s="1"/>
        <i x="6" s="1"/>
        <i x="16" s="1"/>
        <i x="15" s="1"/>
        <i x="12" s="1"/>
        <i x="2" s="1"/>
        <i x="5" s="1"/>
        <i x="8" s="1"/>
        <i x="4" s="1"/>
        <i x="14" s="1"/>
        <i x="10"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D7AD317-26E1-485B-854E-77887B363C0C}" cache="Slicer_Category" caption="Category" rowHeight="241300"/>
  <slicer name="Region" xr10:uid="{7DE4453F-9D98-48FD-AAD8-66FE3D0FF5C9}" cache="Slicer_Region" caption="Region" rowHeight="241300"/>
  <slicer name="Product" xr10:uid="{B67828DE-F82B-4508-9F49-B6D77A7C7C63}" cache="Slicer_Product" caption="Produc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0ABE0AEC-9FF7-4B3E-8601-0E170EB11450}" cache="Slicer_Category" caption="Category" rowHeight="241300"/>
  <slicer name="Region 1" xr10:uid="{9D392596-DF0F-4A8A-8C40-FA5C11EDD8FD}" cache="Slicer_Region" caption="Region" rowHeight="241300"/>
  <slicer name="Product 1" xr10:uid="{96045504-681E-4C4F-A880-E6D449C44491}" cache="Slicer_Product" caption="Produc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EA94EB-3D79-4ABB-9A1A-AB023E55C7F0}" name="Table1" displayName="Table1" ref="A1:K31" totalsRowShown="0">
  <autoFilter ref="A1:K31" xr:uid="{770FEC53-A27A-47FE-9A74-4393EAE75257}"/>
  <tableColumns count="11">
    <tableColumn id="1" xr3:uid="{DC26338F-8E01-498E-9446-E4D19954F7AB}" name="Date" dataDxfId="3"/>
    <tableColumn id="2" xr3:uid="{69824701-7CD6-45A1-B0FB-E961C309D14D}" name="Order_ID"/>
    <tableColumn id="3" xr3:uid="{B85AE6EE-120A-4739-9792-00E1ADEAC8AE}" name="Product"/>
    <tableColumn id="4" xr3:uid="{E7F22F8A-BBCB-48A1-9E33-0C8FEA7E19AA}" name="Category"/>
    <tableColumn id="5" xr3:uid="{F6713AD0-0CD0-46CA-B18C-F4CECDB4F732}" name="Region"/>
    <tableColumn id="6" xr3:uid="{23264A4D-45F1-4974-8178-5F8DD2EFD33D}" name="Quantity"/>
    <tableColumn id="7" xr3:uid="{1F49D083-933C-404B-B870-2ED840CE32C8}" name="Unit_Price"/>
    <tableColumn id="8" xr3:uid="{2295A1F8-4165-49A5-B23D-13E9FBC7AA34}" name="Cost_Price"/>
    <tableColumn id="9" xr3:uid="{EFC80376-00FD-477F-A25E-5668B8B6F4C6}" name="Revenue" dataDxfId="2">
      <calculatedColumnFormula>F2*G2</calculatedColumnFormula>
    </tableColumn>
    <tableColumn id="10" xr3:uid="{01DCD107-A5B6-49F6-84C7-16D217D034B2}" name="Cost" dataDxfId="1">
      <calculatedColumnFormula>F2*H2</calculatedColumnFormula>
    </tableColumn>
    <tableColumn id="11" xr3:uid="{0D6F9839-AFB8-41B5-9630-221DB43915D3}" name="Profit" dataDxfId="0">
      <calculatedColumnFormula>I2-J2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Red Orange">
      <a:dk1>
        <a:sysClr val="windowText" lastClr="000000"/>
      </a:dk1>
      <a:lt1>
        <a:sysClr val="window" lastClr="FFFFFF"/>
      </a:lt1>
      <a:dk2>
        <a:srgbClr val="505046"/>
      </a:dk2>
      <a:lt2>
        <a:srgbClr val="EEECE1"/>
      </a:lt2>
      <a:accent1>
        <a:srgbClr val="E84C22"/>
      </a:accent1>
      <a:accent2>
        <a:srgbClr val="FFBD47"/>
      </a:accent2>
      <a:accent3>
        <a:srgbClr val="B64926"/>
      </a:accent3>
      <a:accent4>
        <a:srgbClr val="FF8427"/>
      </a:accent4>
      <a:accent5>
        <a:srgbClr val="CC9900"/>
      </a:accent5>
      <a:accent6>
        <a:srgbClr val="B22600"/>
      </a:accent6>
      <a:hlink>
        <a:srgbClr val="CC9900"/>
      </a:hlink>
      <a:folHlink>
        <a:srgbClr val="666699"/>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1"/>
  <sheetViews>
    <sheetView zoomScale="82" workbookViewId="0">
      <selection activeCell="N7" sqref="N7"/>
    </sheetView>
  </sheetViews>
  <sheetFormatPr defaultRowHeight="15" x14ac:dyDescent="0.25"/>
  <cols>
    <col min="1" max="1" width="10.85546875" customWidth="1"/>
    <col min="2" max="2" width="11.140625" customWidth="1"/>
    <col min="3" max="3" width="10" customWidth="1"/>
    <col min="4" max="4" width="11" customWidth="1"/>
    <col min="5" max="5" width="9.28515625" customWidth="1"/>
    <col min="6" max="6" width="10.85546875" customWidth="1"/>
    <col min="7" max="8" width="12.42578125" customWidth="1"/>
  </cols>
  <sheetData>
    <row r="1" spans="1:11" x14ac:dyDescent="0.25">
      <c r="A1" s="1" t="s">
        <v>0</v>
      </c>
      <c r="B1" t="s">
        <v>1</v>
      </c>
      <c r="C1" t="s">
        <v>2</v>
      </c>
      <c r="D1" t="s">
        <v>3</v>
      </c>
      <c r="E1" t="s">
        <v>4</v>
      </c>
      <c r="F1" t="s">
        <v>5</v>
      </c>
      <c r="G1" t="s">
        <v>6</v>
      </c>
      <c r="H1" t="s">
        <v>7</v>
      </c>
      <c r="I1" t="s">
        <v>63</v>
      </c>
      <c r="J1" t="s">
        <v>64</v>
      </c>
      <c r="K1" t="s">
        <v>65</v>
      </c>
    </row>
    <row r="2" spans="1:11" x14ac:dyDescent="0.25">
      <c r="A2" s="1">
        <v>45658</v>
      </c>
      <c r="B2" t="s">
        <v>8</v>
      </c>
      <c r="C2" t="s">
        <v>9</v>
      </c>
      <c r="D2" t="s">
        <v>10</v>
      </c>
      <c r="E2" t="s">
        <v>11</v>
      </c>
      <c r="F2">
        <v>10</v>
      </c>
      <c r="G2">
        <v>120</v>
      </c>
      <c r="H2">
        <v>80</v>
      </c>
      <c r="I2">
        <f t="shared" ref="I2:I31" si="0">F2*G2</f>
        <v>1200</v>
      </c>
      <c r="J2">
        <f t="shared" ref="J2:J31" si="1">F2*H2</f>
        <v>800</v>
      </c>
      <c r="K2">
        <f t="shared" ref="K2:K31" si="2">I2-J2</f>
        <v>400</v>
      </c>
    </row>
    <row r="3" spans="1:11" x14ac:dyDescent="0.25">
      <c r="A3" s="1">
        <v>45658</v>
      </c>
      <c r="B3" t="s">
        <v>12</v>
      </c>
      <c r="C3" t="s">
        <v>13</v>
      </c>
      <c r="D3" t="s">
        <v>10</v>
      </c>
      <c r="E3" t="s">
        <v>14</v>
      </c>
      <c r="F3">
        <v>15</v>
      </c>
      <c r="G3">
        <v>40</v>
      </c>
      <c r="H3">
        <v>20</v>
      </c>
      <c r="I3">
        <f t="shared" si="0"/>
        <v>600</v>
      </c>
      <c r="J3">
        <f t="shared" si="1"/>
        <v>300</v>
      </c>
      <c r="K3">
        <f t="shared" si="2"/>
        <v>300</v>
      </c>
    </row>
    <row r="4" spans="1:11" x14ac:dyDescent="0.25">
      <c r="A4" s="1">
        <v>45659</v>
      </c>
      <c r="B4" t="s">
        <v>15</v>
      </c>
      <c r="C4" t="s">
        <v>16</v>
      </c>
      <c r="D4" t="s">
        <v>17</v>
      </c>
      <c r="E4" t="s">
        <v>18</v>
      </c>
      <c r="F4">
        <v>8</v>
      </c>
      <c r="G4">
        <v>55</v>
      </c>
      <c r="H4">
        <v>35</v>
      </c>
      <c r="I4">
        <f t="shared" si="0"/>
        <v>440</v>
      </c>
      <c r="J4">
        <f t="shared" si="1"/>
        <v>280</v>
      </c>
      <c r="K4">
        <f t="shared" si="2"/>
        <v>160</v>
      </c>
    </row>
    <row r="5" spans="1:11" x14ac:dyDescent="0.25">
      <c r="A5" s="1">
        <v>45659</v>
      </c>
      <c r="B5" t="s">
        <v>19</v>
      </c>
      <c r="C5" t="s">
        <v>20</v>
      </c>
      <c r="D5" t="s">
        <v>21</v>
      </c>
      <c r="E5" t="s">
        <v>22</v>
      </c>
      <c r="F5">
        <v>12</v>
      </c>
      <c r="G5">
        <v>45</v>
      </c>
      <c r="H5">
        <v>30</v>
      </c>
      <c r="I5">
        <f t="shared" si="0"/>
        <v>540</v>
      </c>
      <c r="J5">
        <f t="shared" si="1"/>
        <v>360</v>
      </c>
      <c r="K5">
        <f t="shared" si="2"/>
        <v>180</v>
      </c>
    </row>
    <row r="6" spans="1:11" x14ac:dyDescent="0.25">
      <c r="A6" s="1">
        <v>45660</v>
      </c>
      <c r="B6" t="s">
        <v>23</v>
      </c>
      <c r="C6" t="s">
        <v>24</v>
      </c>
      <c r="D6" t="s">
        <v>25</v>
      </c>
      <c r="E6" t="s">
        <v>11</v>
      </c>
      <c r="F6">
        <v>20</v>
      </c>
      <c r="G6">
        <v>60</v>
      </c>
      <c r="H6">
        <v>45</v>
      </c>
      <c r="I6">
        <f t="shared" si="0"/>
        <v>1200</v>
      </c>
      <c r="J6">
        <f t="shared" si="1"/>
        <v>900</v>
      </c>
      <c r="K6">
        <f t="shared" si="2"/>
        <v>300</v>
      </c>
    </row>
    <row r="7" spans="1:11" x14ac:dyDescent="0.25">
      <c r="A7" s="1">
        <v>45660</v>
      </c>
      <c r="B7" t="s">
        <v>26</v>
      </c>
      <c r="C7" t="s">
        <v>27</v>
      </c>
      <c r="D7" t="s">
        <v>25</v>
      </c>
      <c r="E7" t="s">
        <v>14</v>
      </c>
      <c r="F7">
        <v>6</v>
      </c>
      <c r="G7">
        <v>180</v>
      </c>
      <c r="H7">
        <v>150</v>
      </c>
      <c r="I7">
        <f t="shared" si="0"/>
        <v>1080</v>
      </c>
      <c r="J7">
        <f t="shared" si="1"/>
        <v>900</v>
      </c>
      <c r="K7">
        <f t="shared" si="2"/>
        <v>180</v>
      </c>
    </row>
    <row r="8" spans="1:11" x14ac:dyDescent="0.25">
      <c r="A8" s="1">
        <v>45661</v>
      </c>
      <c r="B8" t="s">
        <v>28</v>
      </c>
      <c r="C8" t="s">
        <v>29</v>
      </c>
      <c r="D8" t="s">
        <v>17</v>
      </c>
      <c r="E8" t="s">
        <v>18</v>
      </c>
      <c r="F8">
        <v>5</v>
      </c>
      <c r="G8">
        <v>250</v>
      </c>
      <c r="H8">
        <v>200</v>
      </c>
      <c r="I8">
        <f t="shared" si="0"/>
        <v>1250</v>
      </c>
      <c r="J8">
        <f t="shared" si="1"/>
        <v>1000</v>
      </c>
      <c r="K8">
        <f t="shared" si="2"/>
        <v>250</v>
      </c>
    </row>
    <row r="9" spans="1:11" x14ac:dyDescent="0.25">
      <c r="A9" s="1">
        <v>45661</v>
      </c>
      <c r="B9" t="s">
        <v>30</v>
      </c>
      <c r="C9" t="s">
        <v>31</v>
      </c>
      <c r="D9" t="s">
        <v>21</v>
      </c>
      <c r="E9" t="s">
        <v>22</v>
      </c>
      <c r="F9">
        <v>4</v>
      </c>
      <c r="G9">
        <v>300</v>
      </c>
      <c r="H9">
        <v>220</v>
      </c>
      <c r="I9">
        <f t="shared" si="0"/>
        <v>1200</v>
      </c>
      <c r="J9">
        <f t="shared" si="1"/>
        <v>880</v>
      </c>
      <c r="K9">
        <f t="shared" si="2"/>
        <v>320</v>
      </c>
    </row>
    <row r="10" spans="1:11" x14ac:dyDescent="0.25">
      <c r="A10" s="1">
        <v>45662</v>
      </c>
      <c r="B10" t="s">
        <v>32</v>
      </c>
      <c r="C10" t="s">
        <v>33</v>
      </c>
      <c r="D10" t="s">
        <v>10</v>
      </c>
      <c r="E10" t="s">
        <v>11</v>
      </c>
      <c r="F10">
        <v>18</v>
      </c>
      <c r="G10">
        <v>90</v>
      </c>
      <c r="H10">
        <v>60</v>
      </c>
      <c r="I10">
        <f t="shared" si="0"/>
        <v>1620</v>
      </c>
      <c r="J10">
        <f t="shared" si="1"/>
        <v>1080</v>
      </c>
      <c r="K10">
        <f t="shared" si="2"/>
        <v>540</v>
      </c>
    </row>
    <row r="11" spans="1:11" x14ac:dyDescent="0.25">
      <c r="A11" s="1">
        <v>45662</v>
      </c>
      <c r="B11" t="s">
        <v>34</v>
      </c>
      <c r="C11" t="s">
        <v>35</v>
      </c>
      <c r="D11" t="s">
        <v>17</v>
      </c>
      <c r="E11" t="s">
        <v>14</v>
      </c>
      <c r="F11">
        <v>10</v>
      </c>
      <c r="G11">
        <v>70</v>
      </c>
      <c r="H11">
        <v>50</v>
      </c>
      <c r="I11">
        <f t="shared" si="0"/>
        <v>700</v>
      </c>
      <c r="J11">
        <f t="shared" si="1"/>
        <v>500</v>
      </c>
      <c r="K11">
        <f t="shared" si="2"/>
        <v>200</v>
      </c>
    </row>
    <row r="12" spans="1:11" x14ac:dyDescent="0.25">
      <c r="A12" s="1">
        <v>45663</v>
      </c>
      <c r="B12" t="s">
        <v>36</v>
      </c>
      <c r="C12" t="s">
        <v>37</v>
      </c>
      <c r="D12" t="s">
        <v>25</v>
      </c>
      <c r="E12" t="s">
        <v>18</v>
      </c>
      <c r="F12">
        <v>25</v>
      </c>
      <c r="G12">
        <v>55</v>
      </c>
      <c r="H12">
        <v>40</v>
      </c>
      <c r="I12">
        <f t="shared" si="0"/>
        <v>1375</v>
      </c>
      <c r="J12">
        <f t="shared" si="1"/>
        <v>1000</v>
      </c>
      <c r="K12">
        <f t="shared" si="2"/>
        <v>375</v>
      </c>
    </row>
    <row r="13" spans="1:11" x14ac:dyDescent="0.25">
      <c r="A13" s="1">
        <v>45663</v>
      </c>
      <c r="B13" t="s">
        <v>38</v>
      </c>
      <c r="C13" t="s">
        <v>39</v>
      </c>
      <c r="D13" t="s">
        <v>17</v>
      </c>
      <c r="E13" t="s">
        <v>22</v>
      </c>
      <c r="F13">
        <v>6</v>
      </c>
      <c r="G13">
        <v>220</v>
      </c>
      <c r="H13">
        <v>180</v>
      </c>
      <c r="I13">
        <f t="shared" si="0"/>
        <v>1320</v>
      </c>
      <c r="J13">
        <f t="shared" si="1"/>
        <v>1080</v>
      </c>
      <c r="K13">
        <f t="shared" si="2"/>
        <v>240</v>
      </c>
    </row>
    <row r="14" spans="1:11" x14ac:dyDescent="0.25">
      <c r="A14" s="1">
        <v>45664</v>
      </c>
      <c r="B14" t="s">
        <v>40</v>
      </c>
      <c r="C14" t="s">
        <v>41</v>
      </c>
      <c r="D14" t="s">
        <v>10</v>
      </c>
      <c r="E14" t="s">
        <v>11</v>
      </c>
      <c r="F14">
        <v>12</v>
      </c>
      <c r="G14">
        <v>150</v>
      </c>
      <c r="H14">
        <v>100</v>
      </c>
      <c r="I14">
        <f t="shared" si="0"/>
        <v>1800</v>
      </c>
      <c r="J14">
        <f t="shared" si="1"/>
        <v>1200</v>
      </c>
      <c r="K14">
        <f t="shared" si="2"/>
        <v>600</v>
      </c>
    </row>
    <row r="15" spans="1:11" x14ac:dyDescent="0.25">
      <c r="A15" s="1">
        <v>45664</v>
      </c>
      <c r="B15" t="s">
        <v>42</v>
      </c>
      <c r="C15" t="s">
        <v>43</v>
      </c>
      <c r="D15" t="s">
        <v>21</v>
      </c>
      <c r="E15" t="s">
        <v>14</v>
      </c>
      <c r="F15">
        <v>20</v>
      </c>
      <c r="G15">
        <v>30</v>
      </c>
      <c r="H15">
        <v>18</v>
      </c>
      <c r="I15">
        <f t="shared" si="0"/>
        <v>600</v>
      </c>
      <c r="J15">
        <f t="shared" si="1"/>
        <v>360</v>
      </c>
      <c r="K15">
        <f t="shared" si="2"/>
        <v>240</v>
      </c>
    </row>
    <row r="16" spans="1:11" x14ac:dyDescent="0.25">
      <c r="A16" s="1">
        <v>45665</v>
      </c>
      <c r="B16" t="s">
        <v>44</v>
      </c>
      <c r="C16" t="s">
        <v>45</v>
      </c>
      <c r="D16" t="s">
        <v>25</v>
      </c>
      <c r="E16" t="s">
        <v>18</v>
      </c>
      <c r="F16">
        <v>15</v>
      </c>
      <c r="G16">
        <v>50</v>
      </c>
      <c r="H16">
        <v>38</v>
      </c>
      <c r="I16">
        <f t="shared" si="0"/>
        <v>750</v>
      </c>
      <c r="J16">
        <f t="shared" si="1"/>
        <v>570</v>
      </c>
      <c r="K16">
        <f t="shared" si="2"/>
        <v>180</v>
      </c>
    </row>
    <row r="17" spans="1:11" x14ac:dyDescent="0.25">
      <c r="A17" s="1">
        <v>45665</v>
      </c>
      <c r="B17" t="s">
        <v>46</v>
      </c>
      <c r="C17" t="s">
        <v>47</v>
      </c>
      <c r="D17" t="s">
        <v>17</v>
      </c>
      <c r="E17" t="s">
        <v>22</v>
      </c>
      <c r="F17">
        <v>7</v>
      </c>
      <c r="G17">
        <v>160</v>
      </c>
      <c r="H17">
        <v>120</v>
      </c>
      <c r="I17">
        <f t="shared" si="0"/>
        <v>1120</v>
      </c>
      <c r="J17">
        <f t="shared" si="1"/>
        <v>840</v>
      </c>
      <c r="K17">
        <f t="shared" si="2"/>
        <v>280</v>
      </c>
    </row>
    <row r="18" spans="1:11" x14ac:dyDescent="0.25">
      <c r="A18" s="1">
        <v>45666</v>
      </c>
      <c r="B18" t="s">
        <v>48</v>
      </c>
      <c r="C18" t="s">
        <v>49</v>
      </c>
      <c r="D18" t="s">
        <v>10</v>
      </c>
      <c r="E18" t="s">
        <v>11</v>
      </c>
      <c r="F18">
        <v>14</v>
      </c>
      <c r="G18">
        <v>110</v>
      </c>
      <c r="H18">
        <v>75</v>
      </c>
      <c r="I18">
        <f t="shared" si="0"/>
        <v>1540</v>
      </c>
      <c r="J18">
        <f t="shared" si="1"/>
        <v>1050</v>
      </c>
      <c r="K18">
        <f t="shared" si="2"/>
        <v>490</v>
      </c>
    </row>
    <row r="19" spans="1:11" x14ac:dyDescent="0.25">
      <c r="A19" s="1">
        <v>45666</v>
      </c>
      <c r="B19" t="s">
        <v>50</v>
      </c>
      <c r="C19" t="s">
        <v>31</v>
      </c>
      <c r="D19" t="s">
        <v>21</v>
      </c>
      <c r="E19" t="s">
        <v>14</v>
      </c>
      <c r="F19">
        <v>6</v>
      </c>
      <c r="G19">
        <v>320</v>
      </c>
      <c r="H19">
        <v>250</v>
      </c>
      <c r="I19">
        <f t="shared" si="0"/>
        <v>1920</v>
      </c>
      <c r="J19">
        <f t="shared" si="1"/>
        <v>1500</v>
      </c>
      <c r="K19">
        <f t="shared" si="2"/>
        <v>420</v>
      </c>
    </row>
    <row r="20" spans="1:11" x14ac:dyDescent="0.25">
      <c r="A20" s="1">
        <v>45667</v>
      </c>
      <c r="B20" t="s">
        <v>51</v>
      </c>
      <c r="C20" t="s">
        <v>24</v>
      </c>
      <c r="D20" t="s">
        <v>25</v>
      </c>
      <c r="E20" t="s">
        <v>18</v>
      </c>
      <c r="F20">
        <v>18</v>
      </c>
      <c r="G20">
        <v>62</v>
      </c>
      <c r="H20">
        <v>48</v>
      </c>
      <c r="I20">
        <f t="shared" si="0"/>
        <v>1116</v>
      </c>
      <c r="J20">
        <f t="shared" si="1"/>
        <v>864</v>
      </c>
      <c r="K20">
        <f t="shared" si="2"/>
        <v>252</v>
      </c>
    </row>
    <row r="21" spans="1:11" x14ac:dyDescent="0.25">
      <c r="A21" s="1">
        <v>45667</v>
      </c>
      <c r="B21" t="s">
        <v>52</v>
      </c>
      <c r="C21" t="s">
        <v>16</v>
      </c>
      <c r="D21" t="s">
        <v>17</v>
      </c>
      <c r="E21" t="s">
        <v>22</v>
      </c>
      <c r="F21">
        <v>12</v>
      </c>
      <c r="G21">
        <v>58</v>
      </c>
      <c r="H21">
        <v>38</v>
      </c>
      <c r="I21">
        <f t="shared" si="0"/>
        <v>696</v>
      </c>
      <c r="J21">
        <f t="shared" si="1"/>
        <v>456</v>
      </c>
      <c r="K21">
        <f t="shared" si="2"/>
        <v>240</v>
      </c>
    </row>
    <row r="22" spans="1:11" x14ac:dyDescent="0.25">
      <c r="A22" s="1">
        <v>45668</v>
      </c>
      <c r="B22" t="s">
        <v>53</v>
      </c>
      <c r="C22" t="s">
        <v>9</v>
      </c>
      <c r="D22" t="s">
        <v>10</v>
      </c>
      <c r="E22" t="s">
        <v>14</v>
      </c>
      <c r="F22">
        <v>9</v>
      </c>
      <c r="G22">
        <v>125</v>
      </c>
      <c r="H22">
        <v>85</v>
      </c>
      <c r="I22">
        <f t="shared" si="0"/>
        <v>1125</v>
      </c>
      <c r="J22">
        <f t="shared" si="1"/>
        <v>765</v>
      </c>
      <c r="K22">
        <f t="shared" si="2"/>
        <v>360</v>
      </c>
    </row>
    <row r="23" spans="1:11" x14ac:dyDescent="0.25">
      <c r="A23" s="1">
        <v>45668</v>
      </c>
      <c r="B23" t="s">
        <v>54</v>
      </c>
      <c r="C23" t="s">
        <v>20</v>
      </c>
      <c r="D23" t="s">
        <v>21</v>
      </c>
      <c r="E23" t="s">
        <v>11</v>
      </c>
      <c r="F23">
        <v>14</v>
      </c>
      <c r="G23">
        <v>48</v>
      </c>
      <c r="H23">
        <v>32</v>
      </c>
      <c r="I23">
        <f t="shared" si="0"/>
        <v>672</v>
      </c>
      <c r="J23">
        <f t="shared" si="1"/>
        <v>448</v>
      </c>
      <c r="K23">
        <f t="shared" si="2"/>
        <v>224</v>
      </c>
    </row>
    <row r="24" spans="1:11" x14ac:dyDescent="0.25">
      <c r="A24" s="1">
        <v>45669</v>
      </c>
      <c r="B24" t="s">
        <v>55</v>
      </c>
      <c r="C24" t="s">
        <v>27</v>
      </c>
      <c r="D24" t="s">
        <v>25</v>
      </c>
      <c r="E24" t="s">
        <v>22</v>
      </c>
      <c r="F24">
        <v>5</v>
      </c>
      <c r="G24">
        <v>185</v>
      </c>
      <c r="H24">
        <v>155</v>
      </c>
      <c r="I24">
        <f t="shared" si="0"/>
        <v>925</v>
      </c>
      <c r="J24">
        <f t="shared" si="1"/>
        <v>775</v>
      </c>
      <c r="K24">
        <f t="shared" si="2"/>
        <v>150</v>
      </c>
    </row>
    <row r="25" spans="1:11" x14ac:dyDescent="0.25">
      <c r="A25" s="1">
        <v>45669</v>
      </c>
      <c r="B25" t="s">
        <v>56</v>
      </c>
      <c r="C25" t="s">
        <v>29</v>
      </c>
      <c r="D25" t="s">
        <v>17</v>
      </c>
      <c r="E25" t="s">
        <v>18</v>
      </c>
      <c r="F25">
        <v>6</v>
      </c>
      <c r="G25">
        <v>255</v>
      </c>
      <c r="H25">
        <v>210</v>
      </c>
      <c r="I25">
        <f t="shared" si="0"/>
        <v>1530</v>
      </c>
      <c r="J25">
        <f t="shared" si="1"/>
        <v>1260</v>
      </c>
      <c r="K25">
        <f t="shared" si="2"/>
        <v>270</v>
      </c>
    </row>
    <row r="26" spans="1:11" x14ac:dyDescent="0.25">
      <c r="A26" s="1">
        <v>45670</v>
      </c>
      <c r="B26" t="s">
        <v>57</v>
      </c>
      <c r="C26" t="s">
        <v>13</v>
      </c>
      <c r="D26" t="s">
        <v>10</v>
      </c>
      <c r="E26" t="s">
        <v>11</v>
      </c>
      <c r="F26">
        <v>22</v>
      </c>
      <c r="G26">
        <v>42</v>
      </c>
      <c r="H26">
        <v>22</v>
      </c>
      <c r="I26">
        <f t="shared" si="0"/>
        <v>924</v>
      </c>
      <c r="J26">
        <f t="shared" si="1"/>
        <v>484</v>
      </c>
      <c r="K26">
        <f t="shared" si="2"/>
        <v>440</v>
      </c>
    </row>
    <row r="27" spans="1:11" x14ac:dyDescent="0.25">
      <c r="A27" s="1">
        <v>45670</v>
      </c>
      <c r="B27" t="s">
        <v>58</v>
      </c>
      <c r="C27" t="s">
        <v>43</v>
      </c>
      <c r="D27" t="s">
        <v>21</v>
      </c>
      <c r="E27" t="s">
        <v>18</v>
      </c>
      <c r="F27">
        <v>18</v>
      </c>
      <c r="G27">
        <v>35</v>
      </c>
      <c r="H27">
        <v>20</v>
      </c>
      <c r="I27">
        <f t="shared" si="0"/>
        <v>630</v>
      </c>
      <c r="J27">
        <f t="shared" si="1"/>
        <v>360</v>
      </c>
      <c r="K27">
        <f t="shared" si="2"/>
        <v>270</v>
      </c>
    </row>
    <row r="28" spans="1:11" x14ac:dyDescent="0.25">
      <c r="A28" s="1">
        <v>45671</v>
      </c>
      <c r="B28" t="s">
        <v>59</v>
      </c>
      <c r="C28" t="s">
        <v>37</v>
      </c>
      <c r="D28" t="s">
        <v>25</v>
      </c>
      <c r="E28" t="s">
        <v>14</v>
      </c>
      <c r="F28">
        <v>30</v>
      </c>
      <c r="G28">
        <v>58</v>
      </c>
      <c r="H28">
        <v>42</v>
      </c>
      <c r="I28">
        <f t="shared" si="0"/>
        <v>1740</v>
      </c>
      <c r="J28">
        <f t="shared" si="1"/>
        <v>1260</v>
      </c>
      <c r="K28">
        <f t="shared" si="2"/>
        <v>480</v>
      </c>
    </row>
    <row r="29" spans="1:11" x14ac:dyDescent="0.25">
      <c r="A29" s="1">
        <v>45671</v>
      </c>
      <c r="B29" t="s">
        <v>60</v>
      </c>
      <c r="C29" t="s">
        <v>35</v>
      </c>
      <c r="D29" t="s">
        <v>17</v>
      </c>
      <c r="E29" t="s">
        <v>22</v>
      </c>
      <c r="F29">
        <v>11</v>
      </c>
      <c r="G29">
        <v>75</v>
      </c>
      <c r="H29">
        <v>55</v>
      </c>
      <c r="I29">
        <f t="shared" si="0"/>
        <v>825</v>
      </c>
      <c r="J29">
        <f t="shared" si="1"/>
        <v>605</v>
      </c>
      <c r="K29">
        <f t="shared" si="2"/>
        <v>220</v>
      </c>
    </row>
    <row r="30" spans="1:11" x14ac:dyDescent="0.25">
      <c r="A30" s="1">
        <v>45672</v>
      </c>
      <c r="B30" t="s">
        <v>61</v>
      </c>
      <c r="C30" t="s">
        <v>33</v>
      </c>
      <c r="D30" t="s">
        <v>10</v>
      </c>
      <c r="E30" t="s">
        <v>18</v>
      </c>
      <c r="F30">
        <v>16</v>
      </c>
      <c r="G30">
        <v>95</v>
      </c>
      <c r="H30">
        <v>65</v>
      </c>
      <c r="I30">
        <f t="shared" si="0"/>
        <v>1520</v>
      </c>
      <c r="J30">
        <f t="shared" si="1"/>
        <v>1040</v>
      </c>
      <c r="K30">
        <f t="shared" si="2"/>
        <v>480</v>
      </c>
    </row>
    <row r="31" spans="1:11" x14ac:dyDescent="0.25">
      <c r="A31" s="1">
        <v>45672</v>
      </c>
      <c r="B31" t="s">
        <v>62</v>
      </c>
      <c r="C31" t="s">
        <v>39</v>
      </c>
      <c r="D31" t="s">
        <v>17</v>
      </c>
      <c r="E31" t="s">
        <v>11</v>
      </c>
      <c r="F31">
        <v>7</v>
      </c>
      <c r="G31">
        <v>230</v>
      </c>
      <c r="H31">
        <v>190</v>
      </c>
      <c r="I31">
        <f t="shared" si="0"/>
        <v>1610</v>
      </c>
      <c r="J31">
        <f t="shared" si="1"/>
        <v>1330</v>
      </c>
      <c r="K31">
        <f t="shared" si="2"/>
        <v>280</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6A956-8D9E-4613-9EA2-CC2C16CD3E6B}">
  <dimension ref="A3:J45"/>
  <sheetViews>
    <sheetView topLeftCell="H1" workbookViewId="0">
      <selection activeCell="B15" sqref="B15"/>
    </sheetView>
  </sheetViews>
  <sheetFormatPr defaultRowHeight="15" x14ac:dyDescent="0.25"/>
  <cols>
    <col min="1" max="1" width="13.140625" bestFit="1" customWidth="1"/>
    <col min="2" max="2" width="15.5703125" bestFit="1" customWidth="1"/>
    <col min="4" max="4" width="13.140625" bestFit="1" customWidth="1"/>
    <col min="5" max="5" width="15.5703125" bestFit="1" customWidth="1"/>
    <col min="6" max="6" width="12.5703125" bestFit="1" customWidth="1"/>
    <col min="8" max="8" width="13.140625" bestFit="1" customWidth="1"/>
    <col min="9" max="9" width="15.5703125" bestFit="1" customWidth="1"/>
    <col min="10" max="10" width="12.5703125" bestFit="1" customWidth="1"/>
  </cols>
  <sheetData>
    <row r="3" spans="1:10" x14ac:dyDescent="0.25">
      <c r="A3" s="2" t="s">
        <v>66</v>
      </c>
      <c r="B3" t="s">
        <v>68</v>
      </c>
      <c r="D3" s="2" t="s">
        <v>66</v>
      </c>
      <c r="E3" t="s">
        <v>68</v>
      </c>
      <c r="F3" t="s">
        <v>70</v>
      </c>
      <c r="H3" s="2" t="s">
        <v>66</v>
      </c>
      <c r="I3" t="s">
        <v>68</v>
      </c>
      <c r="J3" t="s">
        <v>70</v>
      </c>
    </row>
    <row r="4" spans="1:10" x14ac:dyDescent="0.25">
      <c r="A4" s="5" t="s">
        <v>69</v>
      </c>
      <c r="B4" s="4">
        <v>33568</v>
      </c>
      <c r="D4" s="3" t="s">
        <v>33</v>
      </c>
      <c r="E4" s="4">
        <v>3140</v>
      </c>
      <c r="F4" s="4">
        <v>1020</v>
      </c>
      <c r="H4" s="3" t="s">
        <v>21</v>
      </c>
      <c r="I4" s="4">
        <v>5562</v>
      </c>
      <c r="J4" s="4">
        <v>1654</v>
      </c>
    </row>
    <row r="5" spans="1:10" x14ac:dyDescent="0.25">
      <c r="A5" s="5" t="s">
        <v>67</v>
      </c>
      <c r="B5" s="4">
        <v>33568</v>
      </c>
      <c r="D5" s="3" t="s">
        <v>31</v>
      </c>
      <c r="E5" s="4">
        <v>3120</v>
      </c>
      <c r="F5" s="4">
        <v>740</v>
      </c>
      <c r="H5" s="3" t="s">
        <v>17</v>
      </c>
      <c r="I5" s="4">
        <v>9491</v>
      </c>
      <c r="J5" s="4">
        <v>2140</v>
      </c>
    </row>
    <row r="6" spans="1:10" x14ac:dyDescent="0.25">
      <c r="D6" s="3" t="s">
        <v>37</v>
      </c>
      <c r="E6" s="4">
        <v>3115</v>
      </c>
      <c r="F6" s="4">
        <v>855</v>
      </c>
      <c r="H6" s="3" t="s">
        <v>10</v>
      </c>
      <c r="I6" s="4">
        <v>10329</v>
      </c>
      <c r="J6" s="4">
        <v>3610</v>
      </c>
    </row>
    <row r="7" spans="1:10" x14ac:dyDescent="0.25">
      <c r="D7" s="3" t="s">
        <v>39</v>
      </c>
      <c r="E7" s="4">
        <v>2930</v>
      </c>
      <c r="F7" s="4">
        <v>520</v>
      </c>
      <c r="H7" s="3" t="s">
        <v>25</v>
      </c>
      <c r="I7" s="4">
        <v>8186</v>
      </c>
      <c r="J7" s="4">
        <v>1917</v>
      </c>
    </row>
    <row r="8" spans="1:10" x14ac:dyDescent="0.25">
      <c r="D8" s="3" t="s">
        <v>29</v>
      </c>
      <c r="E8" s="4">
        <v>2780</v>
      </c>
      <c r="F8" s="4">
        <v>520</v>
      </c>
      <c r="H8" s="3" t="s">
        <v>67</v>
      </c>
      <c r="I8" s="4">
        <v>33568</v>
      </c>
      <c r="J8" s="4">
        <v>9321</v>
      </c>
    </row>
    <row r="9" spans="1:10" x14ac:dyDescent="0.25">
      <c r="D9" s="3" t="s">
        <v>9</v>
      </c>
      <c r="E9" s="4">
        <v>2325</v>
      </c>
      <c r="F9" s="4">
        <v>760</v>
      </c>
    </row>
    <row r="10" spans="1:10" x14ac:dyDescent="0.25">
      <c r="D10" s="3" t="s">
        <v>24</v>
      </c>
      <c r="E10" s="4">
        <v>2316</v>
      </c>
      <c r="F10" s="4">
        <v>552</v>
      </c>
      <c r="H10" s="2" t="s">
        <v>66</v>
      </c>
      <c r="I10" t="s">
        <v>68</v>
      </c>
    </row>
    <row r="11" spans="1:10" x14ac:dyDescent="0.25">
      <c r="D11" s="3" t="s">
        <v>27</v>
      </c>
      <c r="E11" s="4">
        <v>2005</v>
      </c>
      <c r="F11" s="4">
        <v>330</v>
      </c>
      <c r="H11" s="3" t="s">
        <v>18</v>
      </c>
      <c r="I11" s="4">
        <v>8611</v>
      </c>
    </row>
    <row r="12" spans="1:10" x14ac:dyDescent="0.25">
      <c r="D12" s="3" t="s">
        <v>41</v>
      </c>
      <c r="E12" s="4">
        <v>1800</v>
      </c>
      <c r="F12" s="4">
        <v>600</v>
      </c>
      <c r="H12" s="3" t="s">
        <v>14</v>
      </c>
      <c r="I12" s="4">
        <v>7765</v>
      </c>
    </row>
    <row r="13" spans="1:10" x14ac:dyDescent="0.25">
      <c r="D13" s="3" t="s">
        <v>49</v>
      </c>
      <c r="E13" s="4">
        <v>1540</v>
      </c>
      <c r="F13" s="4">
        <v>490</v>
      </c>
      <c r="H13" s="3" t="s">
        <v>11</v>
      </c>
      <c r="I13" s="4">
        <v>10566</v>
      </c>
    </row>
    <row r="14" spans="1:10" x14ac:dyDescent="0.25">
      <c r="D14" s="3" t="s">
        <v>35</v>
      </c>
      <c r="E14" s="4">
        <v>1525</v>
      </c>
      <c r="F14" s="4">
        <v>420</v>
      </c>
      <c r="H14" s="3" t="s">
        <v>22</v>
      </c>
      <c r="I14" s="4">
        <v>6626</v>
      </c>
    </row>
    <row r="15" spans="1:10" x14ac:dyDescent="0.25">
      <c r="D15" s="3" t="s">
        <v>13</v>
      </c>
      <c r="E15" s="4">
        <v>1524</v>
      </c>
      <c r="F15" s="4">
        <v>740</v>
      </c>
      <c r="H15" s="3" t="s">
        <v>67</v>
      </c>
      <c r="I15" s="4">
        <v>33568</v>
      </c>
    </row>
    <row r="16" spans="1:10" x14ac:dyDescent="0.25">
      <c r="D16" s="3" t="s">
        <v>43</v>
      </c>
      <c r="E16" s="4">
        <v>1230</v>
      </c>
      <c r="F16" s="4">
        <v>510</v>
      </c>
    </row>
    <row r="17" spans="4:7" x14ac:dyDescent="0.25">
      <c r="D17" s="3" t="s">
        <v>20</v>
      </c>
      <c r="E17" s="4">
        <v>1212</v>
      </c>
      <c r="F17" s="4">
        <v>404</v>
      </c>
    </row>
    <row r="18" spans="4:7" x14ac:dyDescent="0.25">
      <c r="D18" s="3" t="s">
        <v>16</v>
      </c>
      <c r="E18" s="4">
        <v>1136</v>
      </c>
      <c r="F18" s="4">
        <v>400</v>
      </c>
    </row>
    <row r="19" spans="4:7" x14ac:dyDescent="0.25">
      <c r="D19" s="3" t="s">
        <v>47</v>
      </c>
      <c r="E19" s="4">
        <v>1120</v>
      </c>
      <c r="F19" s="4">
        <v>280</v>
      </c>
    </row>
    <row r="20" spans="4:7" x14ac:dyDescent="0.25">
      <c r="D20" s="3" t="s">
        <v>45</v>
      </c>
      <c r="E20" s="4">
        <v>750</v>
      </c>
      <c r="F20" s="4">
        <v>180</v>
      </c>
    </row>
    <row r="21" spans="4:7" x14ac:dyDescent="0.25">
      <c r="D21" s="3" t="s">
        <v>67</v>
      </c>
      <c r="E21" s="4">
        <v>33568</v>
      </c>
      <c r="F21" s="4">
        <v>9321</v>
      </c>
    </row>
    <row r="28" spans="4:7" x14ac:dyDescent="0.25">
      <c r="E28" s="6"/>
      <c r="F28" s="7"/>
      <c r="G28" s="8"/>
    </row>
    <row r="29" spans="4:7" x14ac:dyDescent="0.25">
      <c r="E29" s="9"/>
      <c r="F29" s="10"/>
      <c r="G29" s="11"/>
    </row>
    <row r="30" spans="4:7" x14ac:dyDescent="0.25">
      <c r="E30" s="9"/>
      <c r="F30" s="10"/>
      <c r="G30" s="11"/>
    </row>
    <row r="31" spans="4:7" x14ac:dyDescent="0.25">
      <c r="E31" s="9"/>
      <c r="F31" s="10"/>
      <c r="G31" s="11"/>
    </row>
    <row r="32" spans="4:7" x14ac:dyDescent="0.25">
      <c r="E32" s="9"/>
      <c r="F32" s="10"/>
      <c r="G32" s="11"/>
    </row>
    <row r="33" spans="5:7" x14ac:dyDescent="0.25">
      <c r="E33" s="9"/>
      <c r="F33" s="10"/>
      <c r="G33" s="11"/>
    </row>
    <row r="34" spans="5:7" x14ac:dyDescent="0.25">
      <c r="E34" s="9"/>
      <c r="F34" s="10"/>
      <c r="G34" s="11"/>
    </row>
    <row r="35" spans="5:7" x14ac:dyDescent="0.25">
      <c r="E35" s="9"/>
      <c r="F35" s="10"/>
      <c r="G35" s="11"/>
    </row>
    <row r="36" spans="5:7" x14ac:dyDescent="0.25">
      <c r="E36" s="9"/>
      <c r="F36" s="10"/>
      <c r="G36" s="11"/>
    </row>
    <row r="37" spans="5:7" x14ac:dyDescent="0.25">
      <c r="E37" s="9"/>
      <c r="F37" s="10"/>
      <c r="G37" s="11"/>
    </row>
    <row r="38" spans="5:7" x14ac:dyDescent="0.25">
      <c r="E38" s="9"/>
      <c r="F38" s="10"/>
      <c r="G38" s="11"/>
    </row>
    <row r="39" spans="5:7" x14ac:dyDescent="0.25">
      <c r="E39" s="9"/>
      <c r="F39" s="10"/>
      <c r="G39" s="11"/>
    </row>
    <row r="40" spans="5:7" x14ac:dyDescent="0.25">
      <c r="E40" s="9"/>
      <c r="F40" s="10"/>
      <c r="G40" s="11"/>
    </row>
    <row r="41" spans="5:7" x14ac:dyDescent="0.25">
      <c r="E41" s="9"/>
      <c r="F41" s="10"/>
      <c r="G41" s="11"/>
    </row>
    <row r="42" spans="5:7" x14ac:dyDescent="0.25">
      <c r="E42" s="9"/>
      <c r="F42" s="10"/>
      <c r="G42" s="11"/>
    </row>
    <row r="43" spans="5:7" x14ac:dyDescent="0.25">
      <c r="E43" s="9"/>
      <c r="F43" s="10"/>
      <c r="G43" s="11"/>
    </row>
    <row r="44" spans="5:7" x14ac:dyDescent="0.25">
      <c r="E44" s="9"/>
      <c r="F44" s="10"/>
      <c r="G44" s="11"/>
    </row>
    <row r="45" spans="5:7" x14ac:dyDescent="0.25">
      <c r="E45" s="12"/>
      <c r="F45" s="13"/>
      <c r="G45" s="14"/>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6EBF8-EA22-4889-90B6-1D532F6F63A5}">
  <dimension ref="A1"/>
  <sheetViews>
    <sheetView showGridLines="0" showRowColHeaders="0" tabSelected="1" zoomScale="70" zoomScaleNormal="70" workbookViewId="0">
      <selection activeCell="X5" sqref="X5"/>
    </sheetView>
  </sheetViews>
  <sheetFormatPr defaultRowHeight="15" x14ac:dyDescent="0.25"/>
  <cols>
    <col min="3" max="3" width="9.1406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2026-01-13T07:15:46Z</dcterms:created>
  <dcterms:modified xsi:type="dcterms:W3CDTF">2026-02-27T15:03:30Z</dcterms:modified>
</cp:coreProperties>
</file>