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24226"/>
  <mc:AlternateContent xmlns:mc="http://schemas.openxmlformats.org/markup-compatibility/2006">
    <mc:Choice Requires="x15">
      <x15ac:absPath xmlns:x15ac="http://schemas.microsoft.com/office/spreadsheetml/2010/11/ac" url="https://d.docs.live.net/c0af9ec681510520/Dokumen/"/>
    </mc:Choice>
  </mc:AlternateContent>
  <xr:revisionPtr revIDLastSave="30" documentId="8_{DFCA0850-4F68-4E9B-BF42-1C889165F979}" xr6:coauthVersionLast="45" xr6:coauthVersionMax="45" xr10:uidLastSave="{F3D449BF-C5E0-44CC-86D9-A6F948BF6C03}"/>
  <bookViews>
    <workbookView xWindow="-120" yWindow="-120" windowWidth="20730" windowHeight="11160" activeTab="1" xr2:uid="{00000000-000D-0000-FFFF-FFFF00000000}"/>
  </bookViews>
  <sheets>
    <sheet name="BMI avg by gender &amp; age group" sheetId="2" r:id="rId1"/>
    <sheet name="Dashboard" sheetId="5" r:id="rId2"/>
    <sheet name="%Smoker" sheetId="3" r:id="rId3"/>
    <sheet name="Avg Sleep by diet quality" sheetId="4" r:id="rId4"/>
    <sheet name="Sheet1" sheetId="1" r:id="rId5"/>
  </sheets>
  <definedNames>
    <definedName name="Slicer_Age_Group">#N/A</definedName>
    <definedName name="Slicer_Exercise_Freq">#N/A</definedName>
    <definedName name="Slicer_Risk_Flag">#N/A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9" i="1" l="1"/>
  <c r="R6"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alcChain>
</file>

<file path=xl/sharedStrings.xml><?xml version="1.0" encoding="utf-8"?>
<sst xmlns="http://schemas.openxmlformats.org/spreadsheetml/2006/main" count="227" uniqueCount="45">
  <si>
    <t>ID</t>
  </si>
  <si>
    <t>Age</t>
  </si>
  <si>
    <t>Gender</t>
  </si>
  <si>
    <t>Height_cm</t>
  </si>
  <si>
    <t>Weight_kg</t>
  </si>
  <si>
    <t>BMI</t>
  </si>
  <si>
    <t>Smoker</t>
  </si>
  <si>
    <t>Exercise_Freq</t>
  </si>
  <si>
    <t>Diet_Quality</t>
  </si>
  <si>
    <t>Alcohol_Consumption</t>
  </si>
  <si>
    <t>Chronic_Disease</t>
  </si>
  <si>
    <t>Stress_Level</t>
  </si>
  <si>
    <t>Sleep_Hours</t>
  </si>
  <si>
    <t>Other</t>
  </si>
  <si>
    <t>Female</t>
  </si>
  <si>
    <t>Male</t>
  </si>
  <si>
    <t>Yes</t>
  </si>
  <si>
    <t>No</t>
  </si>
  <si>
    <t>None</t>
  </si>
  <si>
    <t>1-2 times/week</t>
  </si>
  <si>
    <t>Daily</t>
  </si>
  <si>
    <t>3-5 times/week</t>
  </si>
  <si>
    <t>Weekly</t>
  </si>
  <si>
    <t>Poor</t>
  </si>
  <si>
    <t>Good</t>
  </si>
  <si>
    <t>Excellent</t>
  </si>
  <si>
    <t>High</t>
  </si>
  <si>
    <t>Average</t>
  </si>
  <si>
    <t>Moderate</t>
  </si>
  <si>
    <t>Low</t>
  </si>
  <si>
    <t>Stress_Level_Category</t>
  </si>
  <si>
    <t>BMI_category</t>
  </si>
  <si>
    <t>Risk_Flag</t>
  </si>
  <si>
    <t>Age_Group</t>
  </si>
  <si>
    <t>Avg Stress Level</t>
  </si>
  <si>
    <t>Avg Sleep Hours</t>
  </si>
  <si>
    <t>Row Labels</t>
  </si>
  <si>
    <t>Grand Total</t>
  </si>
  <si>
    <t>18-30</t>
  </si>
  <si>
    <t>31-45</t>
  </si>
  <si>
    <t>46-60</t>
  </si>
  <si>
    <t>60+</t>
  </si>
  <si>
    <t>Sum of BMI</t>
  </si>
  <si>
    <t>Sum of ID</t>
  </si>
  <si>
    <t>Sum of Sleep_Hours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</si>
</sst>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NumberFormat="1"/>
    <xf numFmtId="0" fontId="1" fillId="2" borderId="1" xfId="0" applyFont="1" applyFill="1" applyBorder="1" applyAlignment="1">
      <alignment horizontal="center" vertical="top"/>
    </xf>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[Synthetic_Health_Life_Data_patients.xlsx]BMI avg by gender &amp; age group!PivotTable1</c:name>
    <c:fmtId val="4"/>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 avg by gender &amp; age group'!$B$3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'BMI avg by gender &amp; age group'!$A$4:$A$16</c:f>
              <c:multiLvlStrCache>
                <c:ptCount val="9"/>
                <c:lvl>
                  <c:pt idx="0">
                    <c:v>18-30</c:v>
                  </c:pt>
                  <c:pt idx="1">
                    <c:v>31-45</c:v>
                  </c:pt>
                  <c:pt idx="2">
                    <c:v>46-60</c:v>
                  </c:pt>
                  <c:pt idx="3">
                    <c:v>18-30</c:v>
                  </c:pt>
                  <c:pt idx="4">
                    <c:v>31-45</c:v>
                  </c:pt>
                  <c:pt idx="5">
                    <c:v>46-60</c:v>
                  </c:pt>
                  <c:pt idx="6">
                    <c:v>31-45</c:v>
                  </c:pt>
                  <c:pt idx="7">
                    <c:v>46-60</c:v>
                  </c:pt>
                  <c:pt idx="8">
                    <c:v>60+</c:v>
                  </c:pt>
                </c:lvl>
                <c:lvl>
                  <c:pt idx="0">
                    <c:v>Female</c:v>
                  </c:pt>
                  <c:pt idx="3">
                    <c:v>Male</c:v>
                  </c:pt>
                  <c:pt idx="6">
                    <c:v>Other</c:v>
                  </c:pt>
                </c:lvl>
              </c:multiLvlStrCache>
            </c:multiLvlStrRef>
          </c:cat>
          <c:val>
            <c:numRef>
              <c:f>'BMI avg by gender &amp; age group'!$B$4:$B$16</c:f>
              <c:numCache>
                <c:formatCode>General</c:formatCode>
                <c:ptCount val="9"/>
                <c:pt idx="0">
                  <c:v>117.79999999999998</c:v>
                </c:pt>
                <c:pt idx="1">
                  <c:v>81.400000000000006</c:v>
                </c:pt>
                <c:pt idx="2">
                  <c:v>49</c:v>
                </c:pt>
                <c:pt idx="3">
                  <c:v>48.2</c:v>
                </c:pt>
                <c:pt idx="4">
                  <c:v>104.9</c:v>
                </c:pt>
                <c:pt idx="5">
                  <c:v>131.19999999999999</c:v>
                </c:pt>
                <c:pt idx="6">
                  <c:v>129.30000000000001</c:v>
                </c:pt>
                <c:pt idx="7">
                  <c:v>38.1</c:v>
                </c:pt>
                <c:pt idx="8">
                  <c:v>50</c:v>
                </c:pt>
              </c:numCache>
            </c:numRef>
          </c:val>
          <c:extLst>
            <c:ext xmlns:c16="http://schemas.microsoft.com/office/drawing/2014/chart" uri="{C3380CC4-5D6E-409C-BE32-E72D297353CC}">
              <c16:uniqueId val="{00000000-C673-41E4-8DAE-8F772247070A}"/>
            </c:ext>
          </c:extLst>
        </c:ser>
        <c:dLbls>
          <c:dLblPos val="outEnd"/>
          <c:showLegendKey val="0"/>
          <c:showVal val="1"/>
          <c:showCatName val="0"/>
          <c:showSerName val="0"/>
          <c:showPercent val="0"/>
          <c:showBubbleSize val="0"/>
        </c:dLbls>
        <c:gapWidth val="80"/>
        <c:overlap val="25"/>
        <c:axId val="597479208"/>
        <c:axId val="597476256"/>
      </c:barChart>
      <c:catAx>
        <c:axId val="5974792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cap="none" spc="20" normalizeH="0" baseline="0">
                <a:solidFill>
                  <a:schemeClr val="bg1"/>
                </a:solidFill>
                <a:latin typeface="+mn-lt"/>
                <a:ea typeface="+mn-ea"/>
                <a:cs typeface="+mn-cs"/>
              </a:defRPr>
            </a:pPr>
            <a:endParaRPr lang="en-US"/>
          </a:p>
        </c:txPr>
        <c:crossAx val="597476256"/>
        <c:crosses val="autoZero"/>
        <c:auto val="1"/>
        <c:lblAlgn val="ctr"/>
        <c:lblOffset val="100"/>
        <c:noMultiLvlLbl val="0"/>
      </c:catAx>
      <c:valAx>
        <c:axId val="597476256"/>
        <c:scaling>
          <c:orientation val="minMax"/>
        </c:scaling>
        <c:delete val="1"/>
        <c:axPos val="l"/>
        <c:numFmt formatCode="General" sourceLinked="1"/>
        <c:majorTickMark val="none"/>
        <c:minorTickMark val="none"/>
        <c:tickLblPos val="nextTo"/>
        <c:crossAx val="597479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[Synthetic_Health_Life_Data_patients.xlsx]BMI avg by gender &amp; age group!PivotTable1</c:name>
    <c:fmtId val="6"/>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489792942548848"/>
          <c:w val="0.93888888888888888"/>
          <c:h val="0.56406313794109064"/>
        </c:manualLayout>
      </c:layout>
      <c:barChart>
        <c:barDir val="col"/>
        <c:grouping val="clustered"/>
        <c:varyColors val="0"/>
        <c:ser>
          <c:idx val="0"/>
          <c:order val="0"/>
          <c:tx>
            <c:strRef>
              <c:f>'BMI avg by gender &amp; age group'!$B$3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'BMI avg by gender &amp; age group'!$A$4:$A$16</c:f>
              <c:multiLvlStrCache>
                <c:ptCount val="9"/>
                <c:lvl>
                  <c:pt idx="0">
                    <c:v>18-30</c:v>
                  </c:pt>
                  <c:pt idx="1">
                    <c:v>31-45</c:v>
                  </c:pt>
                  <c:pt idx="2">
                    <c:v>46-60</c:v>
                  </c:pt>
                  <c:pt idx="3">
                    <c:v>18-30</c:v>
                  </c:pt>
                  <c:pt idx="4">
                    <c:v>31-45</c:v>
                  </c:pt>
                  <c:pt idx="5">
                    <c:v>46-60</c:v>
                  </c:pt>
                  <c:pt idx="6">
                    <c:v>31-45</c:v>
                  </c:pt>
                  <c:pt idx="7">
                    <c:v>46-60</c:v>
                  </c:pt>
                  <c:pt idx="8">
                    <c:v>60+</c:v>
                  </c:pt>
                </c:lvl>
                <c:lvl>
                  <c:pt idx="0">
                    <c:v>Female</c:v>
                  </c:pt>
                  <c:pt idx="3">
                    <c:v>Male</c:v>
                  </c:pt>
                  <c:pt idx="6">
                    <c:v>Other</c:v>
                  </c:pt>
                </c:lvl>
              </c:multiLvlStrCache>
            </c:multiLvlStrRef>
          </c:cat>
          <c:val>
            <c:numRef>
              <c:f>'BMI avg by gender &amp; age group'!$B$4:$B$16</c:f>
              <c:numCache>
                <c:formatCode>General</c:formatCode>
                <c:ptCount val="9"/>
                <c:pt idx="0">
                  <c:v>117.79999999999998</c:v>
                </c:pt>
                <c:pt idx="1">
                  <c:v>81.400000000000006</c:v>
                </c:pt>
                <c:pt idx="2">
                  <c:v>49</c:v>
                </c:pt>
                <c:pt idx="3">
                  <c:v>48.2</c:v>
                </c:pt>
                <c:pt idx="4">
                  <c:v>104.9</c:v>
                </c:pt>
                <c:pt idx="5">
                  <c:v>131.19999999999999</c:v>
                </c:pt>
                <c:pt idx="6">
                  <c:v>129.30000000000001</c:v>
                </c:pt>
                <c:pt idx="7">
                  <c:v>38.1</c:v>
                </c:pt>
                <c:pt idx="8">
                  <c:v>50</c:v>
                </c:pt>
              </c:numCache>
            </c:numRef>
          </c:val>
          <c:extLst>
            <c:ext xmlns:c16="http://schemas.microsoft.com/office/drawing/2014/chart" uri="{C3380CC4-5D6E-409C-BE32-E72D297353CC}">
              <c16:uniqueId val="{00000000-A775-4F0D-8C06-8E3F3C0C7B82}"/>
            </c:ext>
          </c:extLst>
        </c:ser>
        <c:dLbls>
          <c:dLblPos val="outEnd"/>
          <c:showLegendKey val="0"/>
          <c:showVal val="1"/>
          <c:showCatName val="0"/>
          <c:showSerName val="0"/>
          <c:showPercent val="0"/>
          <c:showBubbleSize val="0"/>
        </c:dLbls>
        <c:gapWidth val="80"/>
        <c:overlap val="25"/>
        <c:axId val="597479208"/>
        <c:axId val="597476256"/>
      </c:barChart>
      <c:catAx>
        <c:axId val="5974792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cap="none" spc="20" normalizeH="0" baseline="0">
                <a:solidFill>
                  <a:schemeClr val="bg1"/>
                </a:solidFill>
                <a:latin typeface="+mn-lt"/>
                <a:ea typeface="+mn-ea"/>
                <a:cs typeface="+mn-cs"/>
              </a:defRPr>
            </a:pPr>
            <a:endParaRPr lang="en-US"/>
          </a:p>
        </c:txPr>
        <c:crossAx val="597476256"/>
        <c:crosses val="autoZero"/>
        <c:auto val="1"/>
        <c:lblAlgn val="ctr"/>
        <c:lblOffset val="100"/>
        <c:noMultiLvlLbl val="0"/>
      </c:catAx>
      <c:valAx>
        <c:axId val="597476256"/>
        <c:scaling>
          <c:orientation val="minMax"/>
        </c:scaling>
        <c:delete val="1"/>
        <c:axPos val="l"/>
        <c:numFmt formatCode="General" sourceLinked="1"/>
        <c:majorTickMark val="none"/>
        <c:minorTickMark val="none"/>
        <c:tickLblPos val="nextTo"/>
        <c:crossAx val="597479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[Synthetic_Health_Life_Data_patients.xlsx]%Smoker!PivotTable2</c:name>
    <c:fmtId val="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'%Smoker'!$B$3</c:f>
              <c:strCache>
                <c:ptCount val="1"/>
                <c:pt idx="0">
                  <c:v>Total</c:v>
                </c:pt>
              </c:strCache>
            </c:strRef>
          </c:tx>
          <c:dPt>
            <c:idx val="0"/>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DF3-45D3-BD6D-8B9D52A39B51}"/>
              </c:ext>
            </c:extLst>
          </c:dPt>
          <c:dPt>
            <c:idx val="1"/>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DF3-45D3-BD6D-8B9D52A39B51}"/>
              </c:ext>
            </c:extLst>
          </c:dPt>
          <c:cat>
            <c:strRef>
              <c:f>'%Smoker'!$A$4:$A$6</c:f>
              <c:strCache>
                <c:ptCount val="2"/>
                <c:pt idx="0">
                  <c:v>No</c:v>
                </c:pt>
                <c:pt idx="1">
                  <c:v>Yes</c:v>
                </c:pt>
              </c:strCache>
            </c:strRef>
          </c:cat>
          <c:val>
            <c:numRef>
              <c:f>'%Smoker'!$B$4:$B$6</c:f>
              <c:numCache>
                <c:formatCode>General</c:formatCode>
                <c:ptCount val="2"/>
                <c:pt idx="0">
                  <c:v>289</c:v>
                </c:pt>
                <c:pt idx="1">
                  <c:v>176</c:v>
                </c:pt>
              </c:numCache>
            </c:numRef>
          </c:val>
          <c:extLst>
            <c:ext xmlns:c16="http://schemas.microsoft.com/office/drawing/2014/chart" uri="{C3380CC4-5D6E-409C-BE32-E72D297353CC}">
              <c16:uniqueId val="{00000004-0DF3-45D3-BD6D-8B9D52A39B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[Synthetic_Health_Life_Data_patients.xlsx]Avg Sleep by diet quality!PivotTable3</c:name>
    <c:fmtId val="6"/>
  </c:pivotSource>
  <c:chart>
    <c:autoTitleDeleted val="1"/>
    <c:pivotFmts>
      <c:pivotFmt>
        <c:idx val="0"/>
        <c:spPr>
          <a:solidFill>
            <a:srgbClr val="FFC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Sleep by diet quality'!$B$3</c:f>
              <c:strCache>
                <c:ptCount val="1"/>
                <c:pt idx="0">
                  <c:v>Total</c:v>
                </c:pt>
              </c:strCache>
            </c:strRef>
          </c:tx>
          <c:spPr>
            <a:solidFill>
              <a:srgbClr val="FFC000"/>
            </a:solidFill>
            <a:ln>
              <a:noFill/>
            </a:ln>
            <a:effectLst>
              <a:outerShdw blurRad="40000" dist="23000" dir="5400000" rotWithShape="0">
                <a:srgbClr val="000000">
                  <a:alpha val="35000"/>
                </a:srgbClr>
              </a:outerShdw>
            </a:effectLst>
          </c:spPr>
          <c:invertIfNegative val="0"/>
          <c:cat>
            <c:strRef>
              <c:f>'Avg Sleep by diet quality'!$A$4:$A$9</c:f>
              <c:strCache>
                <c:ptCount val="5"/>
                <c:pt idx="0">
                  <c:v>Average</c:v>
                </c:pt>
                <c:pt idx="1">
                  <c:v>Excellent</c:v>
                </c:pt>
                <c:pt idx="2">
                  <c:v>Good</c:v>
                </c:pt>
                <c:pt idx="3">
                  <c:v>High</c:v>
                </c:pt>
                <c:pt idx="4">
                  <c:v>Poor</c:v>
                </c:pt>
              </c:strCache>
            </c:strRef>
          </c:cat>
          <c:val>
            <c:numRef>
              <c:f>'Avg Sleep by diet quality'!$B$4:$B$9</c:f>
              <c:numCache>
                <c:formatCode>General</c:formatCode>
                <c:ptCount val="5"/>
                <c:pt idx="0">
                  <c:v>41.199999999999996</c:v>
                </c:pt>
                <c:pt idx="1">
                  <c:v>49.999999999999993</c:v>
                </c:pt>
                <c:pt idx="2">
                  <c:v>52.8</c:v>
                </c:pt>
                <c:pt idx="3">
                  <c:v>13</c:v>
                </c:pt>
                <c:pt idx="4">
                  <c:v>38.999999999999993</c:v>
                </c:pt>
              </c:numCache>
            </c:numRef>
          </c:val>
          <c:extLst>
            <c:ext xmlns:c16="http://schemas.microsoft.com/office/drawing/2014/chart" uri="{C3380CC4-5D6E-409C-BE32-E72D297353CC}">
              <c16:uniqueId val="{00000000-D78E-4D6C-9DDB-12CCD552A858}"/>
            </c:ext>
          </c:extLst>
        </c:ser>
        <c:dLbls>
          <c:showLegendKey val="0"/>
          <c:showVal val="0"/>
          <c:showCatName val="0"/>
          <c:showSerName val="0"/>
          <c:showPercent val="0"/>
          <c:showBubbleSize val="0"/>
        </c:dLbls>
        <c:gapWidth val="100"/>
        <c:axId val="567218384"/>
        <c:axId val="567216416"/>
      </c:barChart>
      <c:catAx>
        <c:axId val="567218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216416"/>
        <c:crosses val="autoZero"/>
        <c:auto val="1"/>
        <c:lblAlgn val="ctr"/>
        <c:lblOffset val="100"/>
        <c:noMultiLvlLbl val="0"/>
      </c:catAx>
      <c:valAx>
        <c:axId val="567216416"/>
        <c:scaling>
          <c:orientation val="minMax"/>
        </c:scaling>
        <c:delete val="1"/>
        <c:axPos val="b"/>
        <c:numFmt formatCode="General" sourceLinked="1"/>
        <c:majorTickMark val="none"/>
        <c:minorTickMark val="none"/>
        <c:tickLblPos val="nextTo"/>
        <c:crossAx val="56721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[Synthetic_Health_Life_Data_patients.xlsx]%Smoker!PivotTable2</c:name>
    <c:fmtId val="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'%Smoker'!$B$3</c:f>
              <c:strCache>
                <c:ptCount val="1"/>
                <c:pt idx="0">
                  <c:v>Total</c:v>
                </c:pt>
              </c:strCache>
            </c:strRef>
          </c:tx>
          <c:dPt>
            <c:idx val="0"/>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1EE-4919-AD5D-19264E2B87F7}"/>
              </c:ext>
            </c:extLst>
          </c:dPt>
          <c:dPt>
            <c:idx val="1"/>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1EE-4919-AD5D-19264E2B87F7}"/>
              </c:ext>
            </c:extLst>
          </c:dPt>
          <c:cat>
            <c:strRef>
              <c:f>'%Smoker'!$A$4:$A$6</c:f>
              <c:strCache>
                <c:ptCount val="2"/>
                <c:pt idx="0">
                  <c:v>No</c:v>
                </c:pt>
                <c:pt idx="1">
                  <c:v>Yes</c:v>
                </c:pt>
              </c:strCache>
            </c:strRef>
          </c:cat>
          <c:val>
            <c:numRef>
              <c:f>'%Smoker'!$B$4:$B$6</c:f>
              <c:numCache>
                <c:formatCode>General</c:formatCode>
                <c:ptCount val="2"/>
                <c:pt idx="0">
                  <c:v>289</c:v>
                </c:pt>
                <c:pt idx="1">
                  <c:v>176</c:v>
                </c:pt>
              </c:numCache>
            </c:numRef>
          </c:val>
          <c:extLst>
            <c:ext xmlns:c16="http://schemas.microsoft.com/office/drawing/2014/chart" uri="{C3380CC4-5D6E-409C-BE32-E72D297353CC}">
              <c16:uniqueId val="{00000000-53E2-4CE2-BC6C-9046439A45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[Synthetic_Health_Life_Data_patients.xlsx]Avg Sleep by diet quality!PivotTable3</c:name>
    <c:fmtId val="3"/>
  </c:pivotSource>
  <c:chart>
    <c:autoTitleDeleted val="1"/>
    <c:pivotFmts>
      <c:pivotFmt>
        <c:idx val="0"/>
        <c:spPr>
          <a:solidFill>
            <a:srgbClr val="FFC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Sleep by diet quality'!$B$3</c:f>
              <c:strCache>
                <c:ptCount val="1"/>
                <c:pt idx="0">
                  <c:v>Total</c:v>
                </c:pt>
              </c:strCache>
            </c:strRef>
          </c:tx>
          <c:spPr>
            <a:solidFill>
              <a:srgbClr val="FFC000"/>
            </a:solidFill>
            <a:ln>
              <a:noFill/>
            </a:ln>
            <a:effectLst>
              <a:outerShdw blurRad="40000" dist="23000" dir="5400000" rotWithShape="0">
                <a:srgbClr val="000000">
                  <a:alpha val="35000"/>
                </a:srgbClr>
              </a:outerShdw>
            </a:effectLst>
          </c:spPr>
          <c:invertIfNegative val="0"/>
          <c:cat>
            <c:strRef>
              <c:f>'Avg Sleep by diet quality'!$A$4:$A$9</c:f>
              <c:strCache>
                <c:ptCount val="5"/>
                <c:pt idx="0">
                  <c:v>Average</c:v>
                </c:pt>
                <c:pt idx="1">
                  <c:v>Excellent</c:v>
                </c:pt>
                <c:pt idx="2">
                  <c:v>Good</c:v>
                </c:pt>
                <c:pt idx="3">
                  <c:v>High</c:v>
                </c:pt>
                <c:pt idx="4">
                  <c:v>Poor</c:v>
                </c:pt>
              </c:strCache>
            </c:strRef>
          </c:cat>
          <c:val>
            <c:numRef>
              <c:f>'Avg Sleep by diet quality'!$B$4:$B$9</c:f>
              <c:numCache>
                <c:formatCode>General</c:formatCode>
                <c:ptCount val="5"/>
                <c:pt idx="0">
                  <c:v>41.199999999999996</c:v>
                </c:pt>
                <c:pt idx="1">
                  <c:v>49.999999999999993</c:v>
                </c:pt>
                <c:pt idx="2">
                  <c:v>52.8</c:v>
                </c:pt>
                <c:pt idx="3">
                  <c:v>13</c:v>
                </c:pt>
                <c:pt idx="4">
                  <c:v>38.999999999999993</c:v>
                </c:pt>
              </c:numCache>
            </c:numRef>
          </c:val>
          <c:extLst>
            <c:ext xmlns:c16="http://schemas.microsoft.com/office/drawing/2014/chart" uri="{C3380CC4-5D6E-409C-BE32-E72D297353CC}">
              <c16:uniqueId val="{00000000-7B86-4FC3-9C70-B86C5F2FA4AB}"/>
            </c:ext>
          </c:extLst>
        </c:ser>
        <c:dLbls>
          <c:showLegendKey val="0"/>
          <c:showVal val="0"/>
          <c:showCatName val="0"/>
          <c:showSerName val="0"/>
          <c:showPercent val="0"/>
          <c:showBubbleSize val="0"/>
        </c:dLbls>
        <c:gapWidth val="100"/>
        <c:axId val="567218384"/>
        <c:axId val="567216416"/>
      </c:barChart>
      <c:catAx>
        <c:axId val="567218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216416"/>
        <c:crosses val="autoZero"/>
        <c:auto val="1"/>
        <c:lblAlgn val="ctr"/>
        <c:lblOffset val="100"/>
        <c:noMultiLvlLbl val="0"/>
      </c:catAx>
      <c:valAx>
        <c:axId val="567216416"/>
        <c:scaling>
          <c:orientation val="minMax"/>
        </c:scaling>
        <c:delete val="1"/>
        <c:axPos val="b"/>
        <c:numFmt formatCode="General" sourceLinked="1"/>
        <c:majorTickMark val="none"/>
        <c:minorTickMark val="none"/>
        <c:tickLblPos val="nextTo"/>
        <c:crossAx val="56721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476250</xdr:colOff>
      <xdr:row>1</xdr:row>
      <xdr:rowOff>133350</xdr:rowOff>
    </xdr:from>
    <xdr:to>
      <xdr:col>10</xdr:col>
      <xdr:colOff>171450</xdr:colOff>
      <xdr:row>16</xdr:row>
      <xdr:rowOff>19050</xdr:rowOff>
    </xdr:to>
    <xdr:graphicFrame macro="">
      <xdr:nvGraphicFramePr>
        <xdr:cNvPr id="2" name="Chart 1">
          <a:extLst>
            <a:ext uri="{FF2B5EF4-FFF2-40B4-BE49-F238E27FC236}">
              <a16:creationId xmlns:a16="http://schemas.microsoft.com/office/drawing/2014/main" id="{209EF93D-F0ED-4D84-B076-F11004706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76200</xdr:colOff>
      <xdr:row>3</xdr:row>
      <xdr:rowOff>28576</xdr:rowOff>
    </xdr:from>
    <xdr:to>
      <xdr:col>14</xdr:col>
      <xdr:colOff>76200</xdr:colOff>
      <xdr:row>10</xdr:row>
      <xdr:rowOff>180976</xdr:rowOff>
    </xdr:to>
    <mc:AlternateContent xmlns:mc="http://schemas.openxmlformats.org/markup-compatibility/2006" xmlns:a14="http://schemas.microsoft.com/office/drawing/2010/main">
      <mc:Choice Requires="a14">
        <xdr:graphicFrame macro="">
          <xdr:nvGraphicFramePr>
            <xdr:cNvPr id="3" name="Age_Group">
              <a:extLst>
                <a:ext uri="{FF2B5EF4-FFF2-40B4-BE49-F238E27FC236}">
                  <a16:creationId xmlns:a16="http://schemas.microsoft.com/office/drawing/2014/main" id="{A3FF1A70-37AF-4762-8AA4-C405E75750D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181850" y="60007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2</xdr:row>
      <xdr:rowOff>171450</xdr:rowOff>
    </xdr:from>
    <xdr:to>
      <xdr:col>17</xdr:col>
      <xdr:colOff>228600</xdr:colOff>
      <xdr:row>7</xdr:row>
      <xdr:rowOff>161925</xdr:rowOff>
    </xdr:to>
    <mc:AlternateContent xmlns:mc="http://schemas.openxmlformats.org/markup-compatibility/2006" xmlns:a14="http://schemas.microsoft.com/office/drawing/2010/main">
      <mc:Choice Requires="a14">
        <xdr:graphicFrame macro="">
          <xdr:nvGraphicFramePr>
            <xdr:cNvPr id="4" name="Risk_Flag">
              <a:extLst>
                <a:ext uri="{FF2B5EF4-FFF2-40B4-BE49-F238E27FC236}">
                  <a16:creationId xmlns:a16="http://schemas.microsoft.com/office/drawing/2014/main" id="{15657ED4-272F-42BF-A7BF-0F3E322AB9D9}"/>
                </a:ext>
              </a:extLst>
            </xdr:cNvPr>
            <xdr:cNvGraphicFramePr/>
          </xdr:nvGraphicFramePr>
          <xdr:xfrm>
            <a:off x="0" y="0"/>
            <a:ext cx="0" cy="0"/>
          </xdr:xfrm>
          <a:graphic>
            <a:graphicData uri="http://schemas.microsoft.com/office/drawing/2010/slicer">
              <sle:slicer xmlns:sle="http://schemas.microsoft.com/office/drawing/2010/slicer" name="Risk_Flag"/>
            </a:graphicData>
          </a:graphic>
        </xdr:graphicFrame>
      </mc:Choice>
      <mc:Fallback xmlns="">
        <xdr:sp macro="" textlink="">
          <xdr:nvSpPr>
            <xdr:cNvPr id="0" name=""/>
            <xdr:cNvSpPr>
              <a:spLocks noTextEdit="1"/>
            </xdr:cNvSpPr>
          </xdr:nvSpPr>
          <xdr:spPr>
            <a:xfrm>
              <a:off x="9163050" y="552450"/>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209550</xdr:colOff>
      <xdr:row>8</xdr:row>
      <xdr:rowOff>114301</xdr:rowOff>
    </xdr:from>
    <xdr:to>
      <xdr:col>17</xdr:col>
      <xdr:colOff>209550</xdr:colOff>
      <xdr:row>17</xdr:row>
      <xdr:rowOff>114301</xdr:rowOff>
    </xdr:to>
    <mc:AlternateContent xmlns:mc="http://schemas.openxmlformats.org/markup-compatibility/2006" xmlns:a14="http://schemas.microsoft.com/office/drawing/2010/main">
      <mc:Choice Requires="a14">
        <xdr:graphicFrame macro="">
          <xdr:nvGraphicFramePr>
            <xdr:cNvPr id="5" name="Exercise_Freq">
              <a:extLst>
                <a:ext uri="{FF2B5EF4-FFF2-40B4-BE49-F238E27FC236}">
                  <a16:creationId xmlns:a16="http://schemas.microsoft.com/office/drawing/2014/main" id="{70F12923-B51A-45C5-A88B-2DEAD650F500}"/>
                </a:ext>
              </a:extLst>
            </xdr:cNvPr>
            <xdr:cNvGraphicFramePr/>
          </xdr:nvGraphicFramePr>
          <xdr:xfrm>
            <a:off x="0" y="0"/>
            <a:ext cx="0" cy="0"/>
          </xdr:xfrm>
          <a:graphic>
            <a:graphicData uri="http://schemas.microsoft.com/office/drawing/2010/slicer">
              <sle:slicer xmlns:sle="http://schemas.microsoft.com/office/drawing/2010/slicer" name="Exercise_Freq"/>
            </a:graphicData>
          </a:graphic>
        </xdr:graphicFrame>
      </mc:Choice>
      <mc:Fallback xmlns="">
        <xdr:sp macro="" textlink="">
          <xdr:nvSpPr>
            <xdr:cNvPr id="0" name=""/>
            <xdr:cNvSpPr>
              <a:spLocks noTextEdit="1"/>
            </xdr:cNvSpPr>
          </xdr:nvSpPr>
          <xdr:spPr>
            <a:xfrm>
              <a:off x="9144000" y="163830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346361</xdr:colOff>
      <xdr:row>49</xdr:row>
      <xdr:rowOff>108238</xdr:rowOff>
    </xdr:to>
    <xdr:pic>
      <xdr:nvPicPr>
        <xdr:cNvPr id="3" name="Picture 2">
          <a:extLst>
            <a:ext uri="{FF2B5EF4-FFF2-40B4-BE49-F238E27FC236}">
              <a16:creationId xmlns:a16="http://schemas.microsoft.com/office/drawing/2014/main" id="{CC1325BA-BE57-4D51-92A6-9677F1E72C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318179" cy="9654886"/>
        </a:xfrm>
        <a:prstGeom prst="rect">
          <a:avLst/>
        </a:prstGeom>
      </xdr:spPr>
    </xdr:pic>
    <xdr:clientData/>
  </xdr:twoCellAnchor>
  <xdr:twoCellAnchor>
    <xdr:from>
      <xdr:col>0</xdr:col>
      <xdr:colOff>64943</xdr:colOff>
      <xdr:row>0</xdr:row>
      <xdr:rowOff>129886</xdr:rowOff>
    </xdr:from>
    <xdr:to>
      <xdr:col>20</xdr:col>
      <xdr:colOff>411307</xdr:colOff>
      <xdr:row>4</xdr:row>
      <xdr:rowOff>64944</xdr:rowOff>
    </xdr:to>
    <xdr:sp macro="" textlink="">
      <xdr:nvSpPr>
        <xdr:cNvPr id="7" name="TextBox 6">
          <a:extLst>
            <a:ext uri="{FF2B5EF4-FFF2-40B4-BE49-F238E27FC236}">
              <a16:creationId xmlns:a16="http://schemas.microsoft.com/office/drawing/2014/main" id="{954CA9D1-B670-4015-9515-98364FD1A4C5}"/>
            </a:ext>
          </a:extLst>
        </xdr:cNvPr>
        <xdr:cNvSpPr txBox="1"/>
      </xdr:nvSpPr>
      <xdr:spPr>
        <a:xfrm>
          <a:off x="64943" y="129886"/>
          <a:ext cx="12469091" cy="71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4400" b="1">
              <a:solidFill>
                <a:srgbClr val="FF0000"/>
              </a:solidFill>
              <a:effectLst/>
              <a:latin typeface="+mn-lt"/>
              <a:ea typeface="+mn-ea"/>
              <a:cs typeface="+mn-cs"/>
            </a:rPr>
            <a:t>Health</a:t>
          </a:r>
          <a:r>
            <a:rPr lang="en-IN" sz="4400" b="1" baseline="0">
              <a:solidFill>
                <a:srgbClr val="FF0000"/>
              </a:solidFill>
              <a:effectLst/>
              <a:latin typeface="+mn-lt"/>
              <a:ea typeface="+mn-ea"/>
              <a:cs typeface="+mn-cs"/>
            </a:rPr>
            <a:t> &amp; Lifestyle Risk Analysis Dashboard</a:t>
          </a:r>
          <a:endParaRPr lang="en-IN" sz="4400" b="1">
            <a:solidFill>
              <a:srgbClr val="FF0000"/>
            </a:solidFill>
            <a:effectLst/>
            <a:latin typeface="+mn-lt"/>
          </a:endParaRPr>
        </a:p>
        <a:p>
          <a:endParaRPr lang="en-IN" sz="1600" b="1">
            <a:solidFill>
              <a:srgbClr val="FF0000"/>
            </a:solidFill>
            <a:latin typeface="Britannic Bold" panose="020B0903060703020204" pitchFamily="34" charset="0"/>
          </a:endParaRPr>
        </a:p>
      </xdr:txBody>
    </xdr:sp>
    <xdr:clientData/>
  </xdr:twoCellAnchor>
  <xdr:twoCellAnchor editAs="oneCell">
    <xdr:from>
      <xdr:col>33</xdr:col>
      <xdr:colOff>0</xdr:colOff>
      <xdr:row>9</xdr:row>
      <xdr:rowOff>0</xdr:rowOff>
    </xdr:from>
    <xdr:to>
      <xdr:col>34</xdr:col>
      <xdr:colOff>9525</xdr:colOff>
      <xdr:row>10</xdr:row>
      <xdr:rowOff>9525</xdr:rowOff>
    </xdr:to>
    <xdr:pic>
      <xdr:nvPicPr>
        <xdr:cNvPr id="9" name="Picture 8">
          <a:extLst>
            <a:ext uri="{FF2B5EF4-FFF2-40B4-BE49-F238E27FC236}">
              <a16:creationId xmlns:a16="http://schemas.microsoft.com/office/drawing/2014/main" id="{214528C7-58D8-4B84-87BD-08CC533E8A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16800" y="1714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0</xdr:colOff>
      <xdr:row>9</xdr:row>
      <xdr:rowOff>0</xdr:rowOff>
    </xdr:from>
    <xdr:to>
      <xdr:col>34</xdr:col>
      <xdr:colOff>9525</xdr:colOff>
      <xdr:row>10</xdr:row>
      <xdr:rowOff>9525</xdr:rowOff>
    </xdr:to>
    <xdr:pic>
      <xdr:nvPicPr>
        <xdr:cNvPr id="10" name="Picture 9">
          <a:extLst>
            <a:ext uri="{FF2B5EF4-FFF2-40B4-BE49-F238E27FC236}">
              <a16:creationId xmlns:a16="http://schemas.microsoft.com/office/drawing/2014/main" id="{F435349B-1E27-4679-90CE-A78045499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16800" y="1714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0</xdr:colOff>
      <xdr:row>9</xdr:row>
      <xdr:rowOff>0</xdr:rowOff>
    </xdr:from>
    <xdr:to>
      <xdr:col>33</xdr:col>
      <xdr:colOff>9525</xdr:colOff>
      <xdr:row>10</xdr:row>
      <xdr:rowOff>9525</xdr:rowOff>
    </xdr:to>
    <xdr:pic>
      <xdr:nvPicPr>
        <xdr:cNvPr id="11" name="Picture 10">
          <a:extLst>
            <a:ext uri="{FF2B5EF4-FFF2-40B4-BE49-F238E27FC236}">
              <a16:creationId xmlns:a16="http://schemas.microsoft.com/office/drawing/2014/main" id="{EC00D80F-A4E3-42FA-97D8-87B349A8B7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507200" y="1714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194830</xdr:colOff>
      <xdr:row>4</xdr:row>
      <xdr:rowOff>43296</xdr:rowOff>
    </xdr:from>
    <xdr:to>
      <xdr:col>28</xdr:col>
      <xdr:colOff>216478</xdr:colOff>
      <xdr:row>25</xdr:row>
      <xdr:rowOff>151534</xdr:rowOff>
    </xdr:to>
    <xdr:graphicFrame macro="">
      <xdr:nvGraphicFramePr>
        <xdr:cNvPr id="12" name="Chart 11">
          <a:extLst>
            <a:ext uri="{FF2B5EF4-FFF2-40B4-BE49-F238E27FC236}">
              <a16:creationId xmlns:a16="http://schemas.microsoft.com/office/drawing/2014/main" id="{ED2C547D-6299-4B35-BF77-1388387AF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194827</xdr:colOff>
      <xdr:row>26</xdr:row>
      <xdr:rowOff>129888</xdr:rowOff>
    </xdr:from>
    <xdr:to>
      <xdr:col>18</xdr:col>
      <xdr:colOff>281418</xdr:colOff>
      <xdr:row>48</xdr:row>
      <xdr:rowOff>108240</xdr:rowOff>
    </xdr:to>
    <xdr:graphicFrame macro="">
      <xdr:nvGraphicFramePr>
        <xdr:cNvPr id="18" name="Chart 17">
          <a:extLst>
            <a:ext uri="{FF2B5EF4-FFF2-40B4-BE49-F238E27FC236}">
              <a16:creationId xmlns:a16="http://schemas.microsoft.com/office/drawing/2014/main" id="{09337B0C-B255-4035-9BBC-FC0B8D065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519545</xdr:colOff>
      <xdr:row>26</xdr:row>
      <xdr:rowOff>129887</xdr:rowOff>
    </xdr:from>
    <xdr:to>
      <xdr:col>28</xdr:col>
      <xdr:colOff>173181</xdr:colOff>
      <xdr:row>48</xdr:row>
      <xdr:rowOff>108238</xdr:rowOff>
    </xdr:to>
    <xdr:graphicFrame macro="">
      <xdr:nvGraphicFramePr>
        <xdr:cNvPr id="19" name="Chart 18">
          <a:extLst>
            <a:ext uri="{FF2B5EF4-FFF2-40B4-BE49-F238E27FC236}">
              <a16:creationId xmlns:a16="http://schemas.microsoft.com/office/drawing/2014/main" id="{531794C4-F542-45B0-8226-FD3156051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xdr:row>
      <xdr:rowOff>108238</xdr:rowOff>
    </xdr:from>
    <xdr:to>
      <xdr:col>5</xdr:col>
      <xdr:colOff>541192</xdr:colOff>
      <xdr:row>9</xdr:row>
      <xdr:rowOff>43295</xdr:rowOff>
    </xdr:to>
    <xdr:sp macro="" textlink="">
      <xdr:nvSpPr>
        <xdr:cNvPr id="20" name="TextBox 19">
          <a:extLst>
            <a:ext uri="{FF2B5EF4-FFF2-40B4-BE49-F238E27FC236}">
              <a16:creationId xmlns:a16="http://schemas.microsoft.com/office/drawing/2014/main" id="{962E5892-5D7E-45D4-96E2-B910BD3B0345}"/>
            </a:ext>
          </a:extLst>
        </xdr:cNvPr>
        <xdr:cNvSpPr txBox="1"/>
      </xdr:nvSpPr>
      <xdr:spPr>
        <a:xfrm>
          <a:off x="0" y="1277215"/>
          <a:ext cx="357187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Avg Stress Level</a:t>
          </a:r>
        </a:p>
      </xdr:txBody>
    </xdr:sp>
    <xdr:clientData/>
  </xdr:twoCellAnchor>
  <xdr:twoCellAnchor>
    <xdr:from>
      <xdr:col>0</xdr:col>
      <xdr:colOff>0</xdr:colOff>
      <xdr:row>15</xdr:row>
      <xdr:rowOff>129888</xdr:rowOff>
    </xdr:from>
    <xdr:to>
      <xdr:col>5</xdr:col>
      <xdr:colOff>43295</xdr:colOff>
      <xdr:row>19</xdr:row>
      <xdr:rowOff>2</xdr:rowOff>
    </xdr:to>
    <xdr:sp macro="" textlink="">
      <xdr:nvSpPr>
        <xdr:cNvPr id="21" name="TextBox 20">
          <a:extLst>
            <a:ext uri="{FF2B5EF4-FFF2-40B4-BE49-F238E27FC236}">
              <a16:creationId xmlns:a16="http://schemas.microsoft.com/office/drawing/2014/main" id="{4636D35F-03FF-4FA6-8BB3-607EAE168BE1}"/>
            </a:ext>
          </a:extLst>
        </xdr:cNvPr>
        <xdr:cNvSpPr txBox="1"/>
      </xdr:nvSpPr>
      <xdr:spPr>
        <a:xfrm>
          <a:off x="0" y="3052331"/>
          <a:ext cx="3073977" cy="64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Avg Sleep Hours</a:t>
          </a:r>
        </a:p>
      </xdr:txBody>
    </xdr:sp>
    <xdr:clientData/>
  </xdr:twoCellAnchor>
  <xdr:twoCellAnchor>
    <xdr:from>
      <xdr:col>5</xdr:col>
      <xdr:colOff>108238</xdr:colOff>
      <xdr:row>6</xdr:row>
      <xdr:rowOff>129885</xdr:rowOff>
    </xdr:from>
    <xdr:to>
      <xdr:col>8</xdr:col>
      <xdr:colOff>346363</xdr:colOff>
      <xdr:row>9</xdr:row>
      <xdr:rowOff>64943</xdr:rowOff>
    </xdr:to>
    <xdr:sp macro="" textlink="">
      <xdr:nvSpPr>
        <xdr:cNvPr id="22" name="TextBox 21">
          <a:extLst>
            <a:ext uri="{FF2B5EF4-FFF2-40B4-BE49-F238E27FC236}">
              <a16:creationId xmlns:a16="http://schemas.microsoft.com/office/drawing/2014/main" id="{4CC61B31-E834-46EB-BD4C-838FF4FB00C7}"/>
            </a:ext>
          </a:extLst>
        </xdr:cNvPr>
        <xdr:cNvSpPr txBox="1"/>
      </xdr:nvSpPr>
      <xdr:spPr>
        <a:xfrm>
          <a:off x="3138920" y="1298862"/>
          <a:ext cx="2056534" cy="519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0" i="0" u="none" strike="noStrike">
              <a:solidFill>
                <a:srgbClr val="FFFF00"/>
              </a:solidFill>
              <a:effectLst/>
              <a:latin typeface="+mn-lt"/>
              <a:ea typeface="+mn-ea"/>
              <a:cs typeface="+mn-cs"/>
            </a:rPr>
            <a:t>5.833</a:t>
          </a:r>
          <a:endParaRPr lang="en-IN" sz="3200">
            <a:solidFill>
              <a:srgbClr val="FFFF00"/>
            </a:solidFill>
          </a:endParaRPr>
        </a:p>
      </xdr:txBody>
    </xdr:sp>
    <xdr:clientData/>
  </xdr:twoCellAnchor>
  <xdr:twoCellAnchor>
    <xdr:from>
      <xdr:col>5</xdr:col>
      <xdr:colOff>1</xdr:colOff>
      <xdr:row>15</xdr:row>
      <xdr:rowOff>129885</xdr:rowOff>
    </xdr:from>
    <xdr:to>
      <xdr:col>7</xdr:col>
      <xdr:colOff>389660</xdr:colOff>
      <xdr:row>18</xdr:row>
      <xdr:rowOff>108238</xdr:rowOff>
    </xdr:to>
    <xdr:sp macro="" textlink="">
      <xdr:nvSpPr>
        <xdr:cNvPr id="23" name="TextBox 22">
          <a:extLst>
            <a:ext uri="{FF2B5EF4-FFF2-40B4-BE49-F238E27FC236}">
              <a16:creationId xmlns:a16="http://schemas.microsoft.com/office/drawing/2014/main" id="{7FFA0507-84DE-45D6-8EB6-C8A9FCEDBF12}"/>
            </a:ext>
          </a:extLst>
        </xdr:cNvPr>
        <xdr:cNvSpPr txBox="1"/>
      </xdr:nvSpPr>
      <xdr:spPr>
        <a:xfrm>
          <a:off x="3030683" y="3052328"/>
          <a:ext cx="1601932" cy="562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0" i="0" u="none" strike="noStrike">
              <a:solidFill>
                <a:srgbClr val="FFFF00"/>
              </a:solidFill>
              <a:effectLst/>
              <a:latin typeface="+mn-lt"/>
              <a:ea typeface="+mn-ea"/>
              <a:cs typeface="+mn-cs"/>
            </a:rPr>
            <a:t>6</a:t>
          </a:r>
          <a:r>
            <a:rPr lang="en-IN" sz="3200" b="0" i="0" u="none" strike="noStrike" baseline="0">
              <a:solidFill>
                <a:srgbClr val="FFFF00"/>
              </a:solidFill>
              <a:effectLst/>
              <a:latin typeface="+mn-lt"/>
              <a:ea typeface="+mn-ea"/>
              <a:cs typeface="+mn-cs"/>
            </a:rPr>
            <a:t> hrs</a:t>
          </a:r>
          <a:endParaRPr lang="en-IN" sz="3200">
            <a:solidFill>
              <a:srgbClr val="FFFF00"/>
            </a:solidFill>
          </a:endParaRPr>
        </a:p>
      </xdr:txBody>
    </xdr:sp>
    <xdr:clientData/>
  </xdr:twoCellAnchor>
  <xdr:twoCellAnchor editAs="oneCell">
    <xdr:from>
      <xdr:col>0</xdr:col>
      <xdr:colOff>0</xdr:colOff>
      <xdr:row>25</xdr:row>
      <xdr:rowOff>194828</xdr:rowOff>
    </xdr:from>
    <xdr:to>
      <xdr:col>8</xdr:col>
      <xdr:colOff>584489</xdr:colOff>
      <xdr:row>33</xdr:row>
      <xdr:rowOff>122092</xdr:rowOff>
    </xdr:to>
    <mc:AlternateContent xmlns:mc="http://schemas.openxmlformats.org/markup-compatibility/2006" xmlns:a14="http://schemas.microsoft.com/office/drawing/2010/main">
      <mc:Choice Requires="a14">
        <xdr:graphicFrame macro="">
          <xdr:nvGraphicFramePr>
            <xdr:cNvPr id="14" name="Age_Group 1">
              <a:extLst>
                <a:ext uri="{FF2B5EF4-FFF2-40B4-BE49-F238E27FC236}">
                  <a16:creationId xmlns:a16="http://schemas.microsoft.com/office/drawing/2014/main" id="{FBC6E55E-3E48-4FE8-B27A-FE7E9C1BF8B0}"/>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0" y="5065567"/>
              <a:ext cx="543358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129886</xdr:rowOff>
    </xdr:from>
    <xdr:to>
      <xdr:col>9</xdr:col>
      <xdr:colOff>21647</xdr:colOff>
      <xdr:row>42</xdr:row>
      <xdr:rowOff>90920</xdr:rowOff>
    </xdr:to>
    <mc:AlternateContent xmlns:mc="http://schemas.openxmlformats.org/markup-compatibility/2006" xmlns:a14="http://schemas.microsoft.com/office/drawing/2010/main">
      <mc:Choice Requires="a14">
        <xdr:graphicFrame macro="">
          <xdr:nvGraphicFramePr>
            <xdr:cNvPr id="15" name="Exercise_Freq 1">
              <a:extLst>
                <a:ext uri="{FF2B5EF4-FFF2-40B4-BE49-F238E27FC236}">
                  <a16:creationId xmlns:a16="http://schemas.microsoft.com/office/drawing/2014/main" id="{CDFC4776-95AE-4978-920F-6A43FDCD88B6}"/>
                </a:ext>
              </a:extLst>
            </xdr:cNvPr>
            <xdr:cNvGraphicFramePr/>
          </xdr:nvGraphicFramePr>
          <xdr:xfrm>
            <a:off x="0" y="0"/>
            <a:ext cx="0" cy="0"/>
          </xdr:xfrm>
          <a:graphic>
            <a:graphicData uri="http://schemas.microsoft.com/office/drawing/2010/slicer">
              <sle:slicer xmlns:sle="http://schemas.microsoft.com/office/drawing/2010/slicer" name="Exercise_Freq 1"/>
            </a:graphicData>
          </a:graphic>
        </xdr:graphicFrame>
      </mc:Choice>
      <mc:Fallback xmlns="">
        <xdr:sp macro="" textlink="">
          <xdr:nvSpPr>
            <xdr:cNvPr id="0" name=""/>
            <xdr:cNvSpPr>
              <a:spLocks noTextEdit="1"/>
            </xdr:cNvSpPr>
          </xdr:nvSpPr>
          <xdr:spPr>
            <a:xfrm>
              <a:off x="0" y="6559261"/>
              <a:ext cx="5476874"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108239</xdr:rowOff>
    </xdr:from>
    <xdr:to>
      <xdr:col>9</xdr:col>
      <xdr:colOff>43294</xdr:colOff>
      <xdr:row>48</xdr:row>
      <xdr:rowOff>77067</xdr:rowOff>
    </xdr:to>
    <mc:AlternateContent xmlns:mc="http://schemas.openxmlformats.org/markup-compatibility/2006" xmlns:a14="http://schemas.microsoft.com/office/drawing/2010/main">
      <mc:Choice Requires="a14">
        <xdr:graphicFrame macro="">
          <xdr:nvGraphicFramePr>
            <xdr:cNvPr id="16" name="Risk_Flag 1">
              <a:extLst>
                <a:ext uri="{FF2B5EF4-FFF2-40B4-BE49-F238E27FC236}">
                  <a16:creationId xmlns:a16="http://schemas.microsoft.com/office/drawing/2014/main" id="{E7901B1D-A388-411D-8ECB-CFA0E34A4DA1}"/>
                </a:ext>
              </a:extLst>
            </xdr:cNvPr>
            <xdr:cNvGraphicFramePr/>
          </xdr:nvGraphicFramePr>
          <xdr:xfrm>
            <a:off x="0" y="0"/>
            <a:ext cx="0" cy="0"/>
          </xdr:xfrm>
          <a:graphic>
            <a:graphicData uri="http://schemas.microsoft.com/office/drawing/2010/slicer">
              <sle:slicer xmlns:sle="http://schemas.microsoft.com/office/drawing/2010/slicer" name="Risk_Flag 1"/>
            </a:graphicData>
          </a:graphic>
        </xdr:graphicFrame>
      </mc:Choice>
      <mc:Fallback xmlns="">
        <xdr:sp macro="" textlink="">
          <xdr:nvSpPr>
            <xdr:cNvPr id="0" name=""/>
            <xdr:cNvSpPr>
              <a:spLocks noTextEdit="1"/>
            </xdr:cNvSpPr>
          </xdr:nvSpPr>
          <xdr:spPr>
            <a:xfrm>
              <a:off x="0" y="8291080"/>
              <a:ext cx="5498521" cy="1137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43295</xdr:colOff>
      <xdr:row>20</xdr:row>
      <xdr:rowOff>108239</xdr:rowOff>
    </xdr:from>
    <xdr:to>
      <xdr:col>6</xdr:col>
      <xdr:colOff>238125</xdr:colOff>
      <xdr:row>23</xdr:row>
      <xdr:rowOff>0</xdr:rowOff>
    </xdr:to>
    <xdr:sp macro="" textlink="">
      <xdr:nvSpPr>
        <xdr:cNvPr id="4" name="TextBox 3">
          <a:extLst>
            <a:ext uri="{FF2B5EF4-FFF2-40B4-BE49-F238E27FC236}">
              <a16:creationId xmlns:a16="http://schemas.microsoft.com/office/drawing/2014/main" id="{0FDAC030-B864-4346-854F-04D5AA7A5CCE}"/>
            </a:ext>
          </a:extLst>
        </xdr:cNvPr>
        <xdr:cNvSpPr txBox="1"/>
      </xdr:nvSpPr>
      <xdr:spPr>
        <a:xfrm>
          <a:off x="1861704" y="4004830"/>
          <a:ext cx="201323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Filters</a:t>
          </a:r>
        </a:p>
      </xdr:txBody>
    </xdr:sp>
    <xdr:clientData/>
  </xdr:twoCellAnchor>
  <xdr:twoCellAnchor>
    <xdr:from>
      <xdr:col>14</xdr:col>
      <xdr:colOff>389659</xdr:colOff>
      <xdr:row>4</xdr:row>
      <xdr:rowOff>64944</xdr:rowOff>
    </xdr:from>
    <xdr:to>
      <xdr:col>27</xdr:col>
      <xdr:colOff>497898</xdr:colOff>
      <xdr:row>7</xdr:row>
      <xdr:rowOff>108239</xdr:rowOff>
    </xdr:to>
    <xdr:sp macro="" textlink="">
      <xdr:nvSpPr>
        <xdr:cNvPr id="5" name="TextBox 4">
          <a:extLst>
            <a:ext uri="{FF2B5EF4-FFF2-40B4-BE49-F238E27FC236}">
              <a16:creationId xmlns:a16="http://schemas.microsoft.com/office/drawing/2014/main" id="{EE6BEAFE-A5E8-4F27-956A-386978810E6F}"/>
            </a:ext>
          </a:extLst>
        </xdr:cNvPr>
        <xdr:cNvSpPr txBox="1"/>
      </xdr:nvSpPr>
      <xdr:spPr>
        <a:xfrm>
          <a:off x="8875568" y="844262"/>
          <a:ext cx="7988012" cy="627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BMI avg by gender &amp; age group</a:t>
          </a:r>
        </a:p>
      </xdr:txBody>
    </xdr:sp>
    <xdr:clientData/>
  </xdr:twoCellAnchor>
  <xdr:twoCellAnchor>
    <xdr:from>
      <xdr:col>15</xdr:col>
      <xdr:colOff>108239</xdr:colOff>
      <xdr:row>27</xdr:row>
      <xdr:rowOff>21648</xdr:rowOff>
    </xdr:from>
    <xdr:to>
      <xdr:col>18</xdr:col>
      <xdr:colOff>108238</xdr:colOff>
      <xdr:row>30</xdr:row>
      <xdr:rowOff>64944</xdr:rowOff>
    </xdr:to>
    <xdr:sp macro="" textlink="">
      <xdr:nvSpPr>
        <xdr:cNvPr id="6" name="TextBox 5">
          <a:extLst>
            <a:ext uri="{FF2B5EF4-FFF2-40B4-BE49-F238E27FC236}">
              <a16:creationId xmlns:a16="http://schemas.microsoft.com/office/drawing/2014/main" id="{D9AF30CD-63E6-4ED3-B8BD-9BEB7A0B66F8}"/>
            </a:ext>
          </a:extLst>
        </xdr:cNvPr>
        <xdr:cNvSpPr txBox="1"/>
      </xdr:nvSpPr>
      <xdr:spPr>
        <a:xfrm>
          <a:off x="9200284" y="5282046"/>
          <a:ext cx="1818409" cy="627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%Smoker</a:t>
          </a:r>
        </a:p>
      </xdr:txBody>
    </xdr:sp>
    <xdr:clientData/>
  </xdr:twoCellAnchor>
  <xdr:twoCellAnchor>
    <xdr:from>
      <xdr:col>22</xdr:col>
      <xdr:colOff>432954</xdr:colOff>
      <xdr:row>26</xdr:row>
      <xdr:rowOff>151534</xdr:rowOff>
    </xdr:from>
    <xdr:to>
      <xdr:col>28</xdr:col>
      <xdr:colOff>346363</xdr:colOff>
      <xdr:row>29</xdr:row>
      <xdr:rowOff>64942</xdr:rowOff>
    </xdr:to>
    <xdr:sp macro="" textlink="">
      <xdr:nvSpPr>
        <xdr:cNvPr id="8" name="TextBox 7">
          <a:extLst>
            <a:ext uri="{FF2B5EF4-FFF2-40B4-BE49-F238E27FC236}">
              <a16:creationId xmlns:a16="http://schemas.microsoft.com/office/drawing/2014/main" id="{1977181F-7858-4656-B588-B938E6BFA7C2}"/>
            </a:ext>
          </a:extLst>
        </xdr:cNvPr>
        <xdr:cNvSpPr txBox="1"/>
      </xdr:nvSpPr>
      <xdr:spPr>
        <a:xfrm>
          <a:off x="13767954" y="5217102"/>
          <a:ext cx="3550227" cy="497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Avg Sleep by diet quality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1</xdr:row>
      <xdr:rowOff>57150</xdr:rowOff>
    </xdr:from>
    <xdr:to>
      <xdr:col>9</xdr:col>
      <xdr:colOff>409575</xdr:colOff>
      <xdr:row>15</xdr:row>
      <xdr:rowOff>133350</xdr:rowOff>
    </xdr:to>
    <xdr:graphicFrame macro="">
      <xdr:nvGraphicFramePr>
        <xdr:cNvPr id="2" name="Chart 1">
          <a:extLst>
            <a:ext uri="{FF2B5EF4-FFF2-40B4-BE49-F238E27FC236}">
              <a16:creationId xmlns:a16="http://schemas.microsoft.com/office/drawing/2014/main" id="{AE1D480A-6D13-41D8-A49C-CD6D8F841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1</xdr:row>
      <xdr:rowOff>95250</xdr:rowOff>
    </xdr:from>
    <xdr:to>
      <xdr:col>9</xdr:col>
      <xdr:colOff>581025</xdr:colOff>
      <xdr:row>15</xdr:row>
      <xdr:rowOff>171450</xdr:rowOff>
    </xdr:to>
    <xdr:graphicFrame macro="">
      <xdr:nvGraphicFramePr>
        <xdr:cNvPr id="2" name="Chart 1">
          <a:extLst>
            <a:ext uri="{FF2B5EF4-FFF2-40B4-BE49-F238E27FC236}">
              <a16:creationId xmlns:a16="http://schemas.microsoft.com/office/drawing/2014/main" id="{7A8BC397-A7A9-4475-9843-49BA64E16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4.953468171298" createdVersion="6" refreshedVersion="6" minRefreshableVersion="3" recordCount="30" xr:uid="{B5C1B757-044A-4000-90D3-B26999AF5165}">
  <cacheSource type="worksheet">
    <worksheetSource name="Table1"/>
  </cacheSource>
  <cacheFields count="17">
    <cacheField name="ID" numFmtId="0">
      <sharedItems containsSemiMixedTypes="0" containsString="0" containsNumber="1" containsInteger="1" minValue="1" maxValue="30"/>
    </cacheField>
    <cacheField name="Age" numFmtId="0">
      <sharedItems containsSemiMixedTypes="0" containsString="0" containsNumber="1" containsInteger="1" minValue="19" maxValue="69"/>
    </cacheField>
    <cacheField name="Gender" numFmtId="0">
      <sharedItems count="3">
        <s v="Other"/>
        <s v="Female"/>
        <s v="Male"/>
      </sharedItems>
    </cacheField>
    <cacheField name="Height_cm" numFmtId="0">
      <sharedItems containsSemiMixedTypes="0" containsString="0" containsNumber="1" minValue="149.69999999999999" maxValue="195.7"/>
    </cacheField>
    <cacheField name="Weight_kg" numFmtId="0">
      <sharedItems containsSemiMixedTypes="0" containsString="0" containsNumber="1" minValue="35.6" maxValue="92.3"/>
    </cacheField>
    <cacheField name="BMI" numFmtId="0">
      <sharedItems containsSemiMixedTypes="0" containsString="0" containsNumber="1" minValue="11.8" maxValue="31.2"/>
    </cacheField>
    <cacheField name="Smoker" numFmtId="0">
      <sharedItems count="2">
        <s v="Yes"/>
        <s v="No"/>
      </sharedItems>
    </cacheField>
    <cacheField name="Exercise_Freq" numFmtId="0">
      <sharedItems count="5">
        <s v="None"/>
        <s v="1-2 times/week"/>
        <s v="Daily"/>
        <s v="3-5 times/week"/>
        <s v="Weekly"/>
      </sharedItems>
    </cacheField>
    <cacheField name="Diet_Quality" numFmtId="0">
      <sharedItems count="5">
        <s v="Poor"/>
        <s v="Good"/>
        <s v="Excellent"/>
        <s v="High"/>
        <s v="Average"/>
      </sharedItems>
    </cacheField>
    <cacheField name="Alcohol_Consumption" numFmtId="0">
      <sharedItems/>
    </cacheField>
    <cacheField name="Chronic_Disease" numFmtId="0">
      <sharedItems/>
    </cacheField>
    <cacheField name="Stress_Level" numFmtId="0">
      <sharedItems containsSemiMixedTypes="0" containsString="0" containsNumber="1" containsInteger="1" minValue="1" maxValue="10"/>
    </cacheField>
    <cacheField name="Sleep_Hours" numFmtId="0">
      <sharedItems containsSemiMixedTypes="0" containsString="0" containsNumber="1" minValue="4.7" maxValue="8.5"/>
    </cacheField>
    <cacheField name="BMI_category" numFmtId="0">
      <sharedItems/>
    </cacheField>
    <cacheField name="Stress_Level_Category" numFmtId="0">
      <sharedItems/>
    </cacheField>
    <cacheField name="Risk_Flag" numFmtId="0">
      <sharedItems count="2">
        <s v="At Risk"/>
        <s v="Healthly"/>
      </sharedItems>
    </cacheField>
    <cacheField name="Age_Group" numFmtId="0">
      <sharedItems count="4">
        <s v="46-60"/>
        <s v="60+"/>
        <s v="31-45"/>
        <s v="18-30"/>
      </sharedItems>
    </cacheField>
  </cacheFields>
  <extLst>
    <ext xmlns:x14="http://schemas.microsoft.com/office/spreadsheetml/2009/9/main" uri="{725AE2AE-9491-48be-B2B4-4EB974FC3084}">
      <x14:pivotCacheDefinition pivotCacheId="1708083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56"/>
    <x v="0"/>
    <n v="177.6"/>
    <n v="37.299999999999997"/>
    <n v="11.8"/>
    <x v="0"/>
    <x v="0"/>
    <x v="0"/>
    <s v="None"/>
    <s v="No"/>
    <n v="9"/>
    <n v="8.5"/>
    <s v="Underweight"/>
    <s v="High"/>
    <x v="0"/>
    <x v="0"/>
  </r>
  <r>
    <n v="2"/>
    <n v="69"/>
    <x v="0"/>
    <n v="169.3"/>
    <n v="70.7"/>
    <n v="24.7"/>
    <x v="1"/>
    <x v="1"/>
    <x v="1"/>
    <s v="High"/>
    <s v="No"/>
    <n v="2"/>
    <n v="5.9"/>
    <s v="Normal"/>
    <s v="Normal"/>
    <x v="1"/>
    <x v="1"/>
  </r>
  <r>
    <n v="3"/>
    <n v="46"/>
    <x v="1"/>
    <n v="159.1"/>
    <n v="69"/>
    <n v="27.3"/>
    <x v="1"/>
    <x v="2"/>
    <x v="2"/>
    <s v="Moderate"/>
    <s v="No"/>
    <n v="3"/>
    <n v="4.8"/>
    <s v="Normal"/>
    <s v="Normal"/>
    <x v="1"/>
    <x v="0"/>
  </r>
  <r>
    <n v="4"/>
    <n v="32"/>
    <x v="2"/>
    <n v="178"/>
    <n v="76.400000000000006"/>
    <n v="24.1"/>
    <x v="1"/>
    <x v="3"/>
    <x v="2"/>
    <s v="Moderate"/>
    <s v="Yes"/>
    <n v="3"/>
    <n v="5.6"/>
    <s v="Normal"/>
    <s v="Normal"/>
    <x v="1"/>
    <x v="2"/>
  </r>
  <r>
    <n v="5"/>
    <n v="60"/>
    <x v="2"/>
    <n v="158.4"/>
    <n v="60.2"/>
    <n v="24.1"/>
    <x v="1"/>
    <x v="0"/>
    <x v="2"/>
    <s v="Low"/>
    <s v="Yes"/>
    <n v="6"/>
    <n v="6.1"/>
    <s v="Normal"/>
    <s v="Normal"/>
    <x v="0"/>
    <x v="0"/>
  </r>
  <r>
    <n v="6"/>
    <n v="25"/>
    <x v="1"/>
    <n v="176.5"/>
    <n v="85"/>
    <n v="27.3"/>
    <x v="0"/>
    <x v="2"/>
    <x v="1"/>
    <s v="Moderate"/>
    <s v="No"/>
    <n v="7"/>
    <n v="5.8"/>
    <s v="Normal"/>
    <s v="Normal"/>
    <x v="1"/>
    <x v="3"/>
  </r>
  <r>
    <n v="7"/>
    <n v="36"/>
    <x v="2"/>
    <n v="165.3"/>
    <n v="83"/>
    <n v="30.3"/>
    <x v="1"/>
    <x v="1"/>
    <x v="3"/>
    <s v="Moderate"/>
    <s v="No"/>
    <n v="7"/>
    <n v="6.8"/>
    <s v="Obese"/>
    <s v="Normal"/>
    <x v="1"/>
    <x v="2"/>
  </r>
  <r>
    <n v="8"/>
    <n v="40"/>
    <x v="0"/>
    <n v="165.4"/>
    <n v="85"/>
    <n v="31"/>
    <x v="0"/>
    <x v="2"/>
    <x v="1"/>
    <s v="Moderate"/>
    <s v="Yes"/>
    <n v="7"/>
    <n v="7"/>
    <s v="Obese"/>
    <s v="Normal"/>
    <x v="1"/>
    <x v="2"/>
  </r>
  <r>
    <n v="9"/>
    <n v="38"/>
    <x v="0"/>
    <n v="162"/>
    <n v="77.400000000000006"/>
    <n v="29.5"/>
    <x v="1"/>
    <x v="1"/>
    <x v="1"/>
    <s v="Low"/>
    <s v="Yes"/>
    <n v="1"/>
    <n v="5.6"/>
    <s v="Normal"/>
    <s v="Normal"/>
    <x v="1"/>
    <x v="2"/>
  </r>
  <r>
    <n v="10"/>
    <n v="28"/>
    <x v="2"/>
    <n v="195.7"/>
    <n v="82.8"/>
    <n v="21.6"/>
    <x v="1"/>
    <x v="3"/>
    <x v="4"/>
    <s v="Moderate"/>
    <s v="No"/>
    <n v="10"/>
    <n v="7.7"/>
    <s v="Normal"/>
    <s v="High"/>
    <x v="1"/>
    <x v="3"/>
  </r>
  <r>
    <n v="11"/>
    <n v="34"/>
    <x v="1"/>
    <n v="169.8"/>
    <n v="78"/>
    <n v="27.1"/>
    <x v="1"/>
    <x v="1"/>
    <x v="1"/>
    <s v="High"/>
    <s v="Yes"/>
    <n v="6"/>
    <n v="7.2"/>
    <s v="Normal"/>
    <s v="Normal"/>
    <x v="1"/>
    <x v="2"/>
  </r>
  <r>
    <n v="12"/>
    <n v="53"/>
    <x v="2"/>
    <n v="171.1"/>
    <n v="78"/>
    <n v="23.9"/>
    <x v="1"/>
    <x v="0"/>
    <x v="2"/>
    <s v="Low"/>
    <s v="No"/>
    <n v="6"/>
    <n v="6.9"/>
    <s v="Normal"/>
    <s v="Normal"/>
    <x v="0"/>
    <x v="0"/>
  </r>
  <r>
    <n v="13"/>
    <n v="41"/>
    <x v="0"/>
    <n v="162.30000000000001"/>
    <n v="57"/>
    <n v="21.7"/>
    <x v="1"/>
    <x v="2"/>
    <x v="0"/>
    <s v="Moderate"/>
    <s v="No"/>
    <n v="9"/>
    <n v="4.7"/>
    <s v="Normal"/>
    <s v="High"/>
    <x v="0"/>
    <x v="2"/>
  </r>
  <r>
    <n v="14"/>
    <n v="20"/>
    <x v="1"/>
    <n v="172.9"/>
    <n v="71.5"/>
    <n v="25"/>
    <x v="1"/>
    <x v="3"/>
    <x v="4"/>
    <s v="High"/>
    <s v="No"/>
    <n v="2"/>
    <n v="7.8"/>
    <s v="Normal"/>
    <s v="Normal"/>
    <x v="1"/>
    <x v="3"/>
  </r>
  <r>
    <n v="15"/>
    <n v="39"/>
    <x v="0"/>
    <n v="161.69999999999999"/>
    <n v="81.599999999999994"/>
    <n v="31.2"/>
    <x v="1"/>
    <x v="0"/>
    <x v="4"/>
    <s v="None"/>
    <s v="Yes"/>
    <n v="3"/>
    <n v="5.4"/>
    <s v="Obese"/>
    <s v="Normal"/>
    <x v="0"/>
    <x v="2"/>
  </r>
  <r>
    <n v="16"/>
    <n v="19"/>
    <x v="1"/>
    <n v="158.4"/>
    <n v="59"/>
    <n v="23.5"/>
    <x v="0"/>
    <x v="0"/>
    <x v="0"/>
    <s v="Low"/>
    <s v="No"/>
    <n v="10"/>
    <n v="6.6"/>
    <s v="Normal"/>
    <s v="High"/>
    <x v="0"/>
    <x v="3"/>
  </r>
  <r>
    <n v="17"/>
    <n v="41"/>
    <x v="0"/>
    <n v="149.69999999999999"/>
    <n v="35.6"/>
    <n v="15.9"/>
    <x v="1"/>
    <x v="2"/>
    <x v="2"/>
    <s v="High"/>
    <s v="No"/>
    <n v="6"/>
    <n v="8.1999999999999993"/>
    <s v="Underweight"/>
    <s v="Normal"/>
    <x v="1"/>
    <x v="2"/>
  </r>
  <r>
    <n v="18"/>
    <n v="44"/>
    <x v="2"/>
    <n v="171.9"/>
    <n v="82"/>
    <n v="27.8"/>
    <x v="0"/>
    <x v="4"/>
    <x v="4"/>
    <s v="Moderate"/>
    <s v="Yes"/>
    <n v="8"/>
    <n v="6.4"/>
    <s v="Normal"/>
    <s v="High"/>
    <x v="1"/>
    <x v="2"/>
  </r>
  <r>
    <n v="19"/>
    <n v="30"/>
    <x v="1"/>
    <n v="168.2"/>
    <n v="59.1"/>
    <n v="20.9"/>
    <x v="1"/>
    <x v="2"/>
    <x v="2"/>
    <s v="Low"/>
    <s v="No"/>
    <n v="5"/>
    <n v="7.1"/>
    <s v="Normal"/>
    <s v="Normal"/>
    <x v="1"/>
    <x v="3"/>
  </r>
  <r>
    <n v="20"/>
    <n v="55"/>
    <x v="2"/>
    <n v="174.4"/>
    <n v="90.3"/>
    <n v="29.7"/>
    <x v="0"/>
    <x v="4"/>
    <x v="0"/>
    <s v="High"/>
    <s v="Yes"/>
    <n v="7"/>
    <n v="5"/>
    <s v="Normal"/>
    <s v="Normal"/>
    <x v="0"/>
    <x v="0"/>
  </r>
  <r>
    <n v="21"/>
    <n v="27"/>
    <x v="2"/>
    <n v="182.1"/>
    <n v="88.2"/>
    <n v="26.6"/>
    <x v="1"/>
    <x v="3"/>
    <x v="1"/>
    <s v="Moderate"/>
    <s v="No"/>
    <n v="4"/>
    <n v="7.3"/>
    <s v="Normal"/>
    <s v="Normal"/>
    <x v="1"/>
    <x v="3"/>
  </r>
  <r>
    <n v="22"/>
    <n v="49"/>
    <x v="1"/>
    <n v="160.30000000000001"/>
    <n v="55.7"/>
    <n v="21.7"/>
    <x v="1"/>
    <x v="2"/>
    <x v="4"/>
    <s v="Low"/>
    <s v="Yes"/>
    <n v="6"/>
    <n v="6.9"/>
    <s v="Normal"/>
    <s v="Normal"/>
    <x v="1"/>
    <x v="0"/>
  </r>
  <r>
    <n v="23"/>
    <n v="62"/>
    <x v="0"/>
    <n v="170.5"/>
    <n v="73.400000000000006"/>
    <n v="25.3"/>
    <x v="0"/>
    <x v="0"/>
    <x v="2"/>
    <s v="High"/>
    <s v="No"/>
    <n v="8"/>
    <n v="5.8"/>
    <s v="Normal"/>
    <s v="High"/>
    <x v="0"/>
    <x v="1"/>
  </r>
  <r>
    <n v="24"/>
    <n v="31"/>
    <x v="2"/>
    <n v="175.6"/>
    <n v="69.8"/>
    <n v="22.7"/>
    <x v="1"/>
    <x v="4"/>
    <x v="0"/>
    <s v="None"/>
    <s v="No"/>
    <n v="3"/>
    <n v="7.4"/>
    <s v="Normal"/>
    <s v="Normal"/>
    <x v="0"/>
    <x v="2"/>
  </r>
  <r>
    <n v="25"/>
    <n v="22"/>
    <x v="1"/>
    <n v="154.19999999999999"/>
    <n v="50.3"/>
    <n v="21.1"/>
    <x v="1"/>
    <x v="1"/>
    <x v="1"/>
    <s v="Moderate"/>
    <s v="Yes"/>
    <n v="2"/>
    <n v="8.1"/>
    <s v="Normal"/>
    <s v="Normal"/>
    <x v="1"/>
    <x v="3"/>
  </r>
  <r>
    <n v="26"/>
    <n v="48"/>
    <x v="0"/>
    <n v="168.8"/>
    <n v="75.099999999999994"/>
    <n v="26.3"/>
    <x v="0"/>
    <x v="2"/>
    <x v="3"/>
    <s v="High"/>
    <s v="No"/>
    <n v="7"/>
    <n v="6.2"/>
    <s v="Normal"/>
    <s v="Normal"/>
    <x v="1"/>
    <x v="0"/>
  </r>
  <r>
    <n v="27"/>
    <n v="35"/>
    <x v="1"/>
    <n v="162.69999999999999"/>
    <n v="80.599999999999994"/>
    <n v="30.5"/>
    <x v="1"/>
    <x v="3"/>
    <x v="2"/>
    <s v="Low"/>
    <s v="Yes"/>
    <n v="5"/>
    <n v="5.5"/>
    <s v="Obese"/>
    <s v="Normal"/>
    <x v="1"/>
    <x v="2"/>
  </r>
  <r>
    <n v="28"/>
    <n v="59"/>
    <x v="2"/>
    <n v="180.4"/>
    <n v="92.3"/>
    <n v="28.4"/>
    <x v="0"/>
    <x v="0"/>
    <x v="4"/>
    <s v="Moderate"/>
    <s v="No"/>
    <n v="9"/>
    <n v="7"/>
    <s v="Normal"/>
    <s v="High"/>
    <x v="0"/>
    <x v="0"/>
  </r>
  <r>
    <n v="29"/>
    <n v="33"/>
    <x v="1"/>
    <n v="166.9"/>
    <n v="66.2"/>
    <n v="23.8"/>
    <x v="1"/>
    <x v="4"/>
    <x v="0"/>
    <s v="Low"/>
    <s v="Yes"/>
    <n v="6"/>
    <n v="6.8"/>
    <s v="Normal"/>
    <s v="Normal"/>
    <x v="0"/>
    <x v="2"/>
  </r>
  <r>
    <n v="30"/>
    <n v="50"/>
    <x v="2"/>
    <n v="172.3"/>
    <n v="74.5"/>
    <n v="25.1"/>
    <x v="0"/>
    <x v="2"/>
    <x v="1"/>
    <s v="High"/>
    <s v="No"/>
    <n v="8"/>
    <n v="5.9"/>
    <s v="Normal"/>
    <s v="High"/>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AFCAD-CEA3-460B-BE7D-A735350AF8D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6" firstHeaderRow="1" firstDataRow="1" firstDataCol="1"/>
  <pivotFields count="17">
    <pivotField showAll="0"/>
    <pivotField showAll="0"/>
    <pivotField axis="axisRow" showAll="0">
      <items count="4">
        <item x="1"/>
        <item x="2"/>
        <item x="0"/>
        <item t="default"/>
      </items>
    </pivotField>
    <pivotField showAll="0"/>
    <pivotField showAll="0"/>
    <pivotField dataField="1" showAll="0"/>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5">
        <item x="3"/>
        <item x="2"/>
        <item x="0"/>
        <item x="1"/>
        <item t="default"/>
      </items>
    </pivotField>
  </pivotFields>
  <rowFields count="2">
    <field x="2"/>
    <field x="16"/>
  </rowFields>
  <rowItems count="13">
    <i>
      <x/>
    </i>
    <i r="1">
      <x/>
    </i>
    <i r="1">
      <x v="1"/>
    </i>
    <i r="1">
      <x v="2"/>
    </i>
    <i>
      <x v="1"/>
    </i>
    <i r="1">
      <x/>
    </i>
    <i r="1">
      <x v="1"/>
    </i>
    <i r="1">
      <x v="2"/>
    </i>
    <i>
      <x v="2"/>
    </i>
    <i r="1">
      <x v="1"/>
    </i>
    <i r="1">
      <x v="2"/>
    </i>
    <i r="1">
      <x v="3"/>
    </i>
    <i t="grand">
      <x/>
    </i>
  </rowItems>
  <colItems count="1">
    <i/>
  </colItems>
  <dataFields count="1">
    <dataField name="Sum of BMI" fld="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56E8E-DE15-4B8C-A872-5105D92AAC2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7">
    <pivotField dataField="1" showAll="0"/>
    <pivotField showAll="0"/>
    <pivotField showAll="0"/>
    <pivotField showAll="0"/>
    <pivotField showAll="0"/>
    <pivotField showAll="0"/>
    <pivotField axis="axisRow" showAll="0">
      <items count="3">
        <item x="1"/>
        <item x="0"/>
        <item t="default"/>
      </items>
    </pivotField>
    <pivotField showAll="0">
      <items count="6">
        <item x="1"/>
        <item x="3"/>
        <item x="2"/>
        <item x="0"/>
        <item x="4"/>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5">
        <item x="3"/>
        <item x="2"/>
        <item x="0"/>
        <item x="1"/>
        <item t="default"/>
      </items>
    </pivotField>
  </pivotFields>
  <rowFields count="1">
    <field x="6"/>
  </rowFields>
  <rowItems count="3">
    <i>
      <x/>
    </i>
    <i>
      <x v="1"/>
    </i>
    <i t="grand">
      <x/>
    </i>
  </rowItems>
  <colItems count="1">
    <i/>
  </colItems>
  <dataFields count="1">
    <dataField name="Sum of ID" fld="0"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7F2F9-BFC3-419C-86D6-9FE7C83E079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7">
    <pivotField showAll="0"/>
    <pivotField showAll="0"/>
    <pivotField showAll="0"/>
    <pivotField showAll="0"/>
    <pivotField showAll="0"/>
    <pivotField showAll="0"/>
    <pivotField showAll="0"/>
    <pivotField showAll="0">
      <items count="6">
        <item x="1"/>
        <item x="3"/>
        <item x="2"/>
        <item x="0"/>
        <item x="4"/>
        <item t="default"/>
      </items>
    </pivotField>
    <pivotField axis="axisRow" showAll="0">
      <items count="6">
        <item x="4"/>
        <item x="2"/>
        <item x="1"/>
        <item x="3"/>
        <item x="0"/>
        <item t="default"/>
      </items>
    </pivotField>
    <pivotField showAll="0"/>
    <pivotField showAll="0"/>
    <pivotField showAll="0"/>
    <pivotField dataField="1" showAll="0"/>
    <pivotField showAll="0"/>
    <pivotField showAll="0"/>
    <pivotField showAll="0">
      <items count="3">
        <item x="0"/>
        <item x="1"/>
        <item t="default"/>
      </items>
    </pivotField>
    <pivotField showAll="0">
      <items count="5">
        <item x="3"/>
        <item x="2"/>
        <item x="0"/>
        <item x="1"/>
        <item t="default"/>
      </items>
    </pivotField>
  </pivotFields>
  <rowFields count="1">
    <field x="8"/>
  </rowFields>
  <rowItems count="6">
    <i>
      <x/>
    </i>
    <i>
      <x v="1"/>
    </i>
    <i>
      <x v="2"/>
    </i>
    <i>
      <x v="3"/>
    </i>
    <i>
      <x v="4"/>
    </i>
    <i t="grand">
      <x/>
    </i>
  </rowItems>
  <colItems count="1">
    <i/>
  </colItems>
  <dataFields count="1">
    <dataField name="Sum of Sleep_Hours" fld="12"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B3ABFB8-4091-4B49-8B86-F8FF081EC2AC}" sourceName="Age_Group">
  <pivotTables>
    <pivotTable tabId="2" name="PivotTable1"/>
    <pivotTable tabId="3" name="PivotTable2"/>
    <pivotTable tabId="4" name="PivotTable3"/>
  </pivotTables>
  <data>
    <tabular pivotCacheId="1708083479">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Flag" xr10:uid="{56BA16D8-7202-4868-A619-87B00C520C36}" sourceName="Risk_Flag">
  <pivotTables>
    <pivotTable tabId="2" name="PivotTable1"/>
    <pivotTable tabId="3" name="PivotTable2"/>
    <pivotTable tabId="4" name="PivotTable3"/>
  </pivotTables>
  <data>
    <tabular pivotCacheId="170808347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Freq" xr10:uid="{82A30463-3A1C-4647-8409-65F8644F9B81}" sourceName="Exercise_Freq">
  <pivotTables>
    <pivotTable tabId="2" name="PivotTable1"/>
    <pivotTable tabId="3" name="PivotTable2"/>
    <pivotTable tabId="4" name="PivotTable3"/>
  </pivotTables>
  <data>
    <tabular pivotCacheId="1708083479">
      <items count="5">
        <i x="1"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F105BEDD-A0F8-4E2E-B233-1541DAA246D3}" cache="Slicer_Age_Group" caption="Age_Group" style="SlicerStyleLight6" rowHeight="241300"/>
  <slicer name="Risk_Flag" xr10:uid="{0861185F-3A2E-4540-83F2-37F037C0E15C}" cache="Slicer_Risk_Flag" caption="Risk_Flag" style="SlicerStyleLight6" rowHeight="241300"/>
  <slicer name="Exercise_Freq" xr10:uid="{4811FC82-1F03-4BD7-B180-30BF788E4EF2}" cache="Slicer_Exercise_Freq" caption="Exercise_Freq"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37D0F9E8-BA23-4CE8-A1D1-740C3E41EB06}" cache="Slicer_Age_Group" caption="Age_Group" style="SlicerStyleLight6" rowHeight="241300"/>
  <slicer name="Risk_Flag 1" xr10:uid="{7E2333DC-38A1-4232-A6E5-8B784DDAA235}" cache="Slicer_Risk_Flag" caption="Risk_Flag" style="SlicerStyleLight6" rowHeight="241300"/>
  <slicer name="Exercise_Freq 1" xr10:uid="{D9347121-7BA7-44FE-9508-E93079C5E590}" cache="Slicer_Exercise_Freq" caption="Exercise_Freq"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439D0A-9CB8-4844-AD1D-5B32167E2909}" name="Table1" displayName="Table1" ref="A1:Q31" totalsRowShown="0" headerRowDxfId="6" headerRowBorderDxfId="5" tableBorderDxfId="4">
  <autoFilter ref="A1:Q31" xr:uid="{62A1CA3A-BFB0-49ED-81B4-E1D6626599BD}"/>
  <tableColumns count="17">
    <tableColumn id="1" xr3:uid="{C66F1FCB-2B07-43A3-A906-85B454E8EB1C}" name="ID"/>
    <tableColumn id="2" xr3:uid="{4C442FB2-FA69-4F82-B703-ADCCCE701700}" name="Age"/>
    <tableColumn id="3" xr3:uid="{2539DE79-75F1-41BD-A2B1-53F75DA58D42}" name="Gender"/>
    <tableColumn id="4" xr3:uid="{C23D141A-568F-4DB0-A64B-7C1D4534CE9C}" name="Height_cm"/>
    <tableColumn id="5" xr3:uid="{26722837-2516-4AE1-8662-6A87207C8E6B}" name="Weight_kg"/>
    <tableColumn id="6" xr3:uid="{08EF72FE-A752-418A-807D-F1710B2E0132}" name="BMI"/>
    <tableColumn id="7" xr3:uid="{8AE4F006-CF30-4BAE-A869-BF6317B54021}" name="Smoker"/>
    <tableColumn id="8" xr3:uid="{D0B0BF34-317F-4BE3-B3DD-B684427C1E8B}" name="Exercise_Freq"/>
    <tableColumn id="9" xr3:uid="{C4F35A24-B3B6-4C4B-8AF5-69C71B1943A1}" name="Diet_Quality"/>
    <tableColumn id="10" xr3:uid="{CB463C9E-ADE7-4087-8428-4B4B601A0D18}" name="Alcohol_Consumption"/>
    <tableColumn id="11" xr3:uid="{C534CFAB-1375-4EFB-953C-D5749B21A89A}" name="Chronic_Disease"/>
    <tableColumn id="12" xr3:uid="{1BBDF033-67D5-4690-AEE4-9C3655293553}" name="Stress_Level"/>
    <tableColumn id="13" xr3:uid="{0F880CB8-2298-45E1-8C00-DC84981AFDAA}" name="Sleep_Hours"/>
    <tableColumn id="14" xr3:uid="{C3EC90BE-881F-425E-96BF-AC4C062B2B20}" name="BMI_category" dataDxfId="3">
      <calculatedColumnFormula>IF(Table1[[#This Row],[BMI]]&lt;18.5,"Underweight",IF(Table1[BMI]&gt;30,"Obese","Normal"))</calculatedColumnFormula>
    </tableColumn>
    <tableColumn id="15" xr3:uid="{D7A166B3-0902-4C3B-B1D6-10AE817BC2A1}" name="Stress_Level_Category" dataDxfId="2">
      <calculatedColumnFormula>IF(Table1[[#This Row],[Stress_Level]]&gt;7,"High","Normal")</calculatedColumnFormula>
    </tableColumn>
    <tableColumn id="17" xr3:uid="{270CBD65-BDD8-4015-9207-9C83E6B4871B}" name="Risk_Flag" dataDxfId="1">
      <calculatedColumnFormula>IF(OR(Table1[[#This Row],[Diet_Quality]]="Poor",Table1[[#This Row],[Exercise_Freq]]="None"),"At Risk","Healthly")</calculatedColumnFormula>
    </tableColumn>
    <tableColumn id="18" xr3:uid="{8221653C-6895-49EB-A3CF-36CF993E600F}" name="Age_Group" dataDxfId="0">
      <calculatedColumnFormula>IF(Table1[[#This Row],[Age]]&lt;=30,"18-30",IF(Table1[[#This Row],[Age]]&lt;=45,"31-45",IF(Table1[[#This Row],[Age]]&lt;=60,"46-60","60+")))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244F5-B989-445B-862C-12A6A12C417E}">
  <dimension ref="A3:B16"/>
  <sheetViews>
    <sheetView workbookViewId="0">
      <selection activeCell="A3" sqref="A3"/>
    </sheetView>
  </sheetViews>
  <sheetFormatPr defaultRowHeight="15" x14ac:dyDescent="0.25"/>
  <cols>
    <col min="1" max="1" width="13.140625" bestFit="1" customWidth="1"/>
    <col min="2" max="2" width="11.140625" bestFit="1" customWidth="1"/>
  </cols>
  <sheetData>
    <row r="3" spans="1:2" x14ac:dyDescent="0.25">
      <c r="A3" s="5" t="s">
        <v>36</v>
      </c>
      <c r="B3" t="s">
        <v>42</v>
      </c>
    </row>
    <row r="4" spans="1:2" x14ac:dyDescent="0.25">
      <c r="A4" s="6" t="s">
        <v>14</v>
      </c>
      <c r="B4" s="2">
        <v>248.2</v>
      </c>
    </row>
    <row r="5" spans="1:2" x14ac:dyDescent="0.25">
      <c r="A5" s="7" t="s">
        <v>38</v>
      </c>
      <c r="B5" s="2">
        <v>117.79999999999998</v>
      </c>
    </row>
    <row r="6" spans="1:2" x14ac:dyDescent="0.25">
      <c r="A6" s="7" t="s">
        <v>39</v>
      </c>
      <c r="B6" s="2">
        <v>81.400000000000006</v>
      </c>
    </row>
    <row r="7" spans="1:2" x14ac:dyDescent="0.25">
      <c r="A7" s="7" t="s">
        <v>40</v>
      </c>
      <c r="B7" s="2">
        <v>49</v>
      </c>
    </row>
    <row r="8" spans="1:2" x14ac:dyDescent="0.25">
      <c r="A8" s="6" t="s">
        <v>15</v>
      </c>
      <c r="B8" s="2">
        <v>284.3</v>
      </c>
    </row>
    <row r="9" spans="1:2" x14ac:dyDescent="0.25">
      <c r="A9" s="7" t="s">
        <v>38</v>
      </c>
      <c r="B9" s="2">
        <v>48.2</v>
      </c>
    </row>
    <row r="10" spans="1:2" x14ac:dyDescent="0.25">
      <c r="A10" s="7" t="s">
        <v>39</v>
      </c>
      <c r="B10" s="2">
        <v>104.9</v>
      </c>
    </row>
    <row r="11" spans="1:2" x14ac:dyDescent="0.25">
      <c r="A11" s="7" t="s">
        <v>40</v>
      </c>
      <c r="B11" s="2">
        <v>131.19999999999999</v>
      </c>
    </row>
    <row r="12" spans="1:2" x14ac:dyDescent="0.25">
      <c r="A12" s="6" t="s">
        <v>13</v>
      </c>
      <c r="B12" s="2">
        <v>217.4</v>
      </c>
    </row>
    <row r="13" spans="1:2" x14ac:dyDescent="0.25">
      <c r="A13" s="7" t="s">
        <v>39</v>
      </c>
      <c r="B13" s="2">
        <v>129.30000000000001</v>
      </c>
    </row>
    <row r="14" spans="1:2" x14ac:dyDescent="0.25">
      <c r="A14" s="7" t="s">
        <v>40</v>
      </c>
      <c r="B14" s="2">
        <v>38.1</v>
      </c>
    </row>
    <row r="15" spans="1:2" x14ac:dyDescent="0.25">
      <c r="A15" s="7" t="s">
        <v>41</v>
      </c>
      <c r="B15" s="2">
        <v>50</v>
      </c>
    </row>
    <row r="16" spans="1:2" x14ac:dyDescent="0.25">
      <c r="A16" s="6" t="s">
        <v>37</v>
      </c>
      <c r="B16" s="2">
        <v>749.9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13BF-2105-4AA1-A9DE-2072575D2296}">
  <dimension ref="A1"/>
  <sheetViews>
    <sheetView tabSelected="1" zoomScale="44" workbookViewId="0">
      <selection activeCell="AJ29" sqref="AJ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5398-B0A2-4B1E-95EB-A5FFC007D8F9}">
  <dimension ref="A3:B6"/>
  <sheetViews>
    <sheetView workbookViewId="0">
      <selection activeCell="J3" sqref="J3"/>
    </sheetView>
  </sheetViews>
  <sheetFormatPr defaultRowHeight="15" x14ac:dyDescent="0.25"/>
  <cols>
    <col min="1" max="1" width="13.140625" bestFit="1" customWidth="1"/>
    <col min="2" max="2" width="9.42578125" bestFit="1" customWidth="1"/>
  </cols>
  <sheetData>
    <row r="3" spans="1:2" x14ac:dyDescent="0.25">
      <c r="A3" s="5" t="s">
        <v>36</v>
      </c>
      <c r="B3" t="s">
        <v>43</v>
      </c>
    </row>
    <row r="4" spans="1:2" x14ac:dyDescent="0.25">
      <c r="A4" s="6" t="s">
        <v>17</v>
      </c>
      <c r="B4" s="2">
        <v>289</v>
      </c>
    </row>
    <row r="5" spans="1:2" x14ac:dyDescent="0.25">
      <c r="A5" s="6" t="s">
        <v>16</v>
      </c>
      <c r="B5" s="2">
        <v>176</v>
      </c>
    </row>
    <row r="6" spans="1:2" x14ac:dyDescent="0.25">
      <c r="A6" s="6" t="s">
        <v>37</v>
      </c>
      <c r="B6" s="2">
        <v>465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BE3B-903D-4DBC-8170-BFD61DFB057E}">
  <dimension ref="A3:B9"/>
  <sheetViews>
    <sheetView workbookViewId="0">
      <selection activeCell="K2" sqref="K2"/>
    </sheetView>
  </sheetViews>
  <sheetFormatPr defaultRowHeight="15" x14ac:dyDescent="0.25"/>
  <cols>
    <col min="1" max="1" width="13.140625" bestFit="1" customWidth="1"/>
    <col min="2" max="2" width="19" bestFit="1" customWidth="1"/>
  </cols>
  <sheetData>
    <row r="3" spans="1:2" x14ac:dyDescent="0.25">
      <c r="A3" s="5" t="s">
        <v>36</v>
      </c>
      <c r="B3" t="s">
        <v>44</v>
      </c>
    </row>
    <row r="4" spans="1:2" x14ac:dyDescent="0.25">
      <c r="A4" s="6" t="s">
        <v>27</v>
      </c>
      <c r="B4" s="2">
        <v>41.199999999999996</v>
      </c>
    </row>
    <row r="5" spans="1:2" x14ac:dyDescent="0.25">
      <c r="A5" s="6" t="s">
        <v>25</v>
      </c>
      <c r="B5" s="2">
        <v>49.999999999999993</v>
      </c>
    </row>
    <row r="6" spans="1:2" x14ac:dyDescent="0.25">
      <c r="A6" s="6" t="s">
        <v>24</v>
      </c>
      <c r="B6" s="2">
        <v>52.8</v>
      </c>
    </row>
    <row r="7" spans="1:2" x14ac:dyDescent="0.25">
      <c r="A7" s="6" t="s">
        <v>26</v>
      </c>
      <c r="B7" s="2">
        <v>13</v>
      </c>
    </row>
    <row r="8" spans="1:2" x14ac:dyDescent="0.25">
      <c r="A8" s="6" t="s">
        <v>23</v>
      </c>
      <c r="B8" s="2">
        <v>38.999999999999993</v>
      </c>
    </row>
    <row r="9" spans="1:2" x14ac:dyDescent="0.25">
      <c r="A9" s="6" t="s">
        <v>37</v>
      </c>
      <c r="B9" s="2">
        <v>196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opLeftCell="J1" zoomScale="75" zoomScaleNormal="75" workbookViewId="0">
      <selection activeCell="R29" sqref="R29"/>
    </sheetView>
  </sheetViews>
  <sheetFormatPr defaultRowHeight="15" x14ac:dyDescent="0.25"/>
  <cols>
    <col min="3" max="3" width="9.85546875" customWidth="1"/>
    <col min="4" max="4" width="12.5703125" customWidth="1"/>
    <col min="5" max="5" width="12.7109375" customWidth="1"/>
    <col min="7" max="7" width="9.85546875" customWidth="1"/>
    <col min="8" max="8" width="16.28515625" customWidth="1"/>
    <col min="9" max="9" width="14.28515625" customWidth="1"/>
    <col min="10" max="10" width="22.7109375" customWidth="1"/>
    <col min="11" max="11" width="17.7109375" customWidth="1"/>
    <col min="12" max="12" width="14.140625" customWidth="1"/>
    <col min="13" max="14" width="14.28515625" customWidth="1"/>
    <col min="15" max="17" width="23.28515625" customWidth="1"/>
    <col min="18" max="18" width="16.4257812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3" t="s">
        <v>31</v>
      </c>
      <c r="O1" s="3" t="s">
        <v>30</v>
      </c>
      <c r="P1" s="3" t="s">
        <v>32</v>
      </c>
      <c r="Q1" s="3" t="s">
        <v>33</v>
      </c>
    </row>
    <row r="2" spans="1:18" x14ac:dyDescent="0.25">
      <c r="A2">
        <v>1</v>
      </c>
      <c r="B2">
        <v>56</v>
      </c>
      <c r="C2" t="s">
        <v>13</v>
      </c>
      <c r="D2">
        <v>177.6</v>
      </c>
      <c r="E2">
        <v>37.299999999999997</v>
      </c>
      <c r="F2">
        <v>11.8</v>
      </c>
      <c r="G2" t="s">
        <v>16</v>
      </c>
      <c r="H2" t="s">
        <v>18</v>
      </c>
      <c r="I2" t="s">
        <v>23</v>
      </c>
      <c r="J2" t="s">
        <v>18</v>
      </c>
      <c r="K2" t="s">
        <v>17</v>
      </c>
      <c r="L2">
        <v>9</v>
      </c>
      <c r="M2">
        <v>8.5</v>
      </c>
      <c r="N2" t="str">
        <f>IF(Table1[[#This Row],[BMI]]&lt;18.5,"Underweight",IF(Table1[BMI]&gt;30,"Obese","Normal"))</f>
        <v>Underweight</v>
      </c>
      <c r="O2" t="str">
        <f>IF(Table1[[#This Row],[Stress_Level]]&gt;7,"High","Normal")</f>
        <v>High</v>
      </c>
      <c r="P2" t="str">
        <f>IF(OR(Table1[[#This Row],[Diet_Quality]]="Poor",Table1[[#This Row],[Exercise_Freq]]="None"),"At Risk","Healthly")</f>
        <v>At Risk</v>
      </c>
      <c r="Q2" s="2" t="str">
        <f>IF(Table1[[#This Row],[Age]]&lt;=30,"18-30",IF(Table1[[#This Row],[Age]]&lt;=45,"31-45",IF(Table1[[#This Row],[Age]]&lt;=60,"46-60","60+")))</f>
        <v>46-60</v>
      </c>
    </row>
    <row r="3" spans="1:18" x14ac:dyDescent="0.25">
      <c r="A3">
        <v>2</v>
      </c>
      <c r="B3">
        <v>69</v>
      </c>
      <c r="C3" t="s">
        <v>13</v>
      </c>
      <c r="D3">
        <v>169.3</v>
      </c>
      <c r="E3">
        <v>70.7</v>
      </c>
      <c r="F3">
        <v>24.7</v>
      </c>
      <c r="G3" t="s">
        <v>17</v>
      </c>
      <c r="H3" t="s">
        <v>19</v>
      </c>
      <c r="I3" t="s">
        <v>24</v>
      </c>
      <c r="J3" t="s">
        <v>26</v>
      </c>
      <c r="K3" t="s">
        <v>17</v>
      </c>
      <c r="L3">
        <v>2</v>
      </c>
      <c r="M3">
        <v>5.9</v>
      </c>
      <c r="N3" t="str">
        <f>IF(Table1[[#This Row],[BMI]]&lt;18.5,"Underweight",IF(Table1[BMI]&gt;30,"Obese","Normal"))</f>
        <v>Normal</v>
      </c>
      <c r="O3" t="str">
        <f>IF(Table1[[#This Row],[Stress_Level]]&gt;7,"High","Normal")</f>
        <v>Normal</v>
      </c>
      <c r="P3" t="str">
        <f>IF(OR(Table1[[#This Row],[Diet_Quality]]="Poor",Table1[[#This Row],[Exercise_Freq]]="None"),"At Risk","Healthly")</f>
        <v>Healthly</v>
      </c>
      <c r="Q3" s="2" t="str">
        <f>IF(Table1[[#This Row],[Age]]&lt;=30,"18-30",IF(Table1[[#This Row],[Age]]&lt;=45,"31-45",IF(Table1[[#This Row],[Age]]&lt;=60,"46-60","60+")))</f>
        <v>60+</v>
      </c>
    </row>
    <row r="4" spans="1:18" x14ac:dyDescent="0.25">
      <c r="A4">
        <v>3</v>
      </c>
      <c r="B4">
        <v>46</v>
      </c>
      <c r="C4" t="s">
        <v>14</v>
      </c>
      <c r="D4">
        <v>159.1</v>
      </c>
      <c r="E4">
        <v>69</v>
      </c>
      <c r="F4">
        <v>27.3</v>
      </c>
      <c r="G4" t="s">
        <v>17</v>
      </c>
      <c r="H4" t="s">
        <v>20</v>
      </c>
      <c r="I4" t="s">
        <v>25</v>
      </c>
      <c r="J4" t="s">
        <v>28</v>
      </c>
      <c r="K4" t="s">
        <v>17</v>
      </c>
      <c r="L4">
        <v>3</v>
      </c>
      <c r="M4">
        <v>4.8</v>
      </c>
      <c r="N4" t="str">
        <f>IF(Table1[[#This Row],[BMI]]&lt;18.5,"Underweight",IF(Table1[BMI]&gt;30,"Obese","Normal"))</f>
        <v>Normal</v>
      </c>
      <c r="O4" t="str">
        <f>IF(Table1[[#This Row],[Stress_Level]]&gt;7,"High","Normal")</f>
        <v>Normal</v>
      </c>
      <c r="P4" t="str">
        <f>IF(OR(Table1[[#This Row],[Diet_Quality]]="Poor",Table1[[#This Row],[Exercise_Freq]]="None"),"At Risk","Healthly")</f>
        <v>Healthly</v>
      </c>
      <c r="Q4" s="2" t="str">
        <f>IF(Table1[[#This Row],[Age]]&lt;=30,"18-30",IF(Table1[[#This Row],[Age]]&lt;=45,"31-45",IF(Table1[[#This Row],[Age]]&lt;=60,"46-60","60+")))</f>
        <v>46-60</v>
      </c>
    </row>
    <row r="5" spans="1:18" x14ac:dyDescent="0.25">
      <c r="A5">
        <v>4</v>
      </c>
      <c r="B5">
        <v>32</v>
      </c>
      <c r="C5" t="s">
        <v>15</v>
      </c>
      <c r="D5">
        <v>178</v>
      </c>
      <c r="E5">
        <v>76.400000000000006</v>
      </c>
      <c r="F5">
        <v>24.1</v>
      </c>
      <c r="G5" t="s">
        <v>17</v>
      </c>
      <c r="H5" t="s">
        <v>21</v>
      </c>
      <c r="I5" t="s">
        <v>25</v>
      </c>
      <c r="J5" t="s">
        <v>28</v>
      </c>
      <c r="K5" t="s">
        <v>16</v>
      </c>
      <c r="L5">
        <v>3</v>
      </c>
      <c r="M5">
        <v>5.6</v>
      </c>
      <c r="N5" t="str">
        <f>IF(Table1[[#This Row],[BMI]]&lt;18.5,"Underweight",IF(Table1[BMI]&gt;30,"Obese","Normal"))</f>
        <v>Normal</v>
      </c>
      <c r="O5" t="str">
        <f>IF(Table1[[#This Row],[Stress_Level]]&gt;7,"High","Normal")</f>
        <v>Normal</v>
      </c>
      <c r="P5" t="str">
        <f>IF(OR(Table1[[#This Row],[Diet_Quality]]="Poor",Table1[[#This Row],[Exercise_Freq]]="None"),"At Risk","Healthly")</f>
        <v>Healthly</v>
      </c>
      <c r="Q5" s="2" t="str">
        <f>IF(Table1[[#This Row],[Age]]&lt;=30,"18-30",IF(Table1[[#This Row],[Age]]&lt;=45,"31-45",IF(Table1[[#This Row],[Age]]&lt;=60,"46-60","60+")))</f>
        <v>31-45</v>
      </c>
      <c r="R5" s="4" t="s">
        <v>34</v>
      </c>
    </row>
    <row r="6" spans="1:18" x14ac:dyDescent="0.25">
      <c r="A6">
        <v>5</v>
      </c>
      <c r="B6">
        <v>60</v>
      </c>
      <c r="C6" t="s">
        <v>15</v>
      </c>
      <c r="D6">
        <v>158.4</v>
      </c>
      <c r="E6">
        <v>60.2</v>
      </c>
      <c r="F6">
        <v>24.1</v>
      </c>
      <c r="G6" t="s">
        <v>17</v>
      </c>
      <c r="H6" t="s">
        <v>18</v>
      </c>
      <c r="I6" t="s">
        <v>25</v>
      </c>
      <c r="J6" t="s">
        <v>29</v>
      </c>
      <c r="K6" t="s">
        <v>16</v>
      </c>
      <c r="L6">
        <v>6</v>
      </c>
      <c r="M6">
        <v>6.1</v>
      </c>
      <c r="N6" t="str">
        <f>IF(Table1[[#This Row],[BMI]]&lt;18.5,"Underweight",IF(Table1[BMI]&gt;30,"Obese","Normal"))</f>
        <v>Normal</v>
      </c>
      <c r="O6" t="str">
        <f>IF(Table1[[#This Row],[Stress_Level]]&gt;7,"High","Normal")</f>
        <v>Normal</v>
      </c>
      <c r="P6" t="str">
        <f>IF(OR(Table1[[#This Row],[Diet_Quality]]="Poor",Table1[[#This Row],[Exercise_Freq]]="None"),"At Risk","Healthly")</f>
        <v>At Risk</v>
      </c>
      <c r="Q6" s="2" t="str">
        <f>IF(Table1[[#This Row],[Age]]&lt;=30,"18-30",IF(Table1[[#This Row],[Age]]&lt;=45,"31-45",IF(Table1[[#This Row],[Age]]&lt;=60,"46-60","60+")))</f>
        <v>46-60</v>
      </c>
      <c r="R6">
        <f>AVERAGE(Table1[Stress_Level])</f>
        <v>5.833333333333333</v>
      </c>
    </row>
    <row r="7" spans="1:18" x14ac:dyDescent="0.25">
      <c r="A7">
        <v>6</v>
      </c>
      <c r="B7">
        <v>25</v>
      </c>
      <c r="C7" t="s">
        <v>14</v>
      </c>
      <c r="D7">
        <v>176.5</v>
      </c>
      <c r="E7">
        <v>85</v>
      </c>
      <c r="F7">
        <v>27.3</v>
      </c>
      <c r="G7" t="s">
        <v>16</v>
      </c>
      <c r="H7" t="s">
        <v>20</v>
      </c>
      <c r="I7" t="s">
        <v>24</v>
      </c>
      <c r="J7" t="s">
        <v>28</v>
      </c>
      <c r="K7" t="s">
        <v>17</v>
      </c>
      <c r="L7">
        <v>7</v>
      </c>
      <c r="M7">
        <v>5.8</v>
      </c>
      <c r="N7" t="str">
        <f>IF(Table1[[#This Row],[BMI]]&lt;18.5,"Underweight",IF(Table1[BMI]&gt;30,"Obese","Normal"))</f>
        <v>Normal</v>
      </c>
      <c r="O7" t="str">
        <f>IF(Table1[[#This Row],[Stress_Level]]&gt;7,"High","Normal")</f>
        <v>Normal</v>
      </c>
      <c r="P7" t="str">
        <f>IF(OR(Table1[[#This Row],[Diet_Quality]]="Poor",Table1[[#This Row],[Exercise_Freq]]="None"),"At Risk","Healthly")</f>
        <v>Healthly</v>
      </c>
      <c r="Q7" s="2" t="str">
        <f>IF(Table1[[#This Row],[Age]]&lt;=30,"18-30",IF(Table1[[#This Row],[Age]]&lt;=45,"31-45",IF(Table1[[#This Row],[Age]]&lt;=60,"46-60","60+")))</f>
        <v>18-30</v>
      </c>
    </row>
    <row r="8" spans="1:18" x14ac:dyDescent="0.25">
      <c r="A8">
        <v>7</v>
      </c>
      <c r="B8">
        <v>36</v>
      </c>
      <c r="C8" t="s">
        <v>15</v>
      </c>
      <c r="D8">
        <v>165.3</v>
      </c>
      <c r="E8">
        <v>83</v>
      </c>
      <c r="F8">
        <v>30.3</v>
      </c>
      <c r="G8" t="s">
        <v>17</v>
      </c>
      <c r="H8" t="s">
        <v>19</v>
      </c>
      <c r="I8" t="s">
        <v>26</v>
      </c>
      <c r="J8" t="s">
        <v>28</v>
      </c>
      <c r="K8" t="s">
        <v>17</v>
      </c>
      <c r="L8">
        <v>7</v>
      </c>
      <c r="M8">
        <v>6.8</v>
      </c>
      <c r="N8" t="str">
        <f>IF(Table1[[#This Row],[BMI]]&lt;18.5,"Underweight",IF(Table1[BMI]&gt;30,"Obese","Normal"))</f>
        <v>Obese</v>
      </c>
      <c r="O8" t="str">
        <f>IF(Table1[[#This Row],[Stress_Level]]&gt;7,"High","Normal")</f>
        <v>Normal</v>
      </c>
      <c r="P8" t="str">
        <f>IF(OR(Table1[[#This Row],[Diet_Quality]]="Poor",Table1[[#This Row],[Exercise_Freq]]="None"),"At Risk","Healthly")</f>
        <v>Healthly</v>
      </c>
      <c r="Q8" s="2" t="str">
        <f>IF(Table1[[#This Row],[Age]]&lt;=30,"18-30",IF(Table1[[#This Row],[Age]]&lt;=45,"31-45",IF(Table1[[#This Row],[Age]]&lt;=60,"46-60","60+")))</f>
        <v>31-45</v>
      </c>
      <c r="R8" s="4" t="s">
        <v>35</v>
      </c>
    </row>
    <row r="9" spans="1:18" x14ac:dyDescent="0.25">
      <c r="A9">
        <v>8</v>
      </c>
      <c r="B9">
        <v>40</v>
      </c>
      <c r="C9" t="s">
        <v>13</v>
      </c>
      <c r="D9">
        <v>165.4</v>
      </c>
      <c r="E9">
        <v>85</v>
      </c>
      <c r="F9">
        <v>31</v>
      </c>
      <c r="G9" t="s">
        <v>16</v>
      </c>
      <c r="H9" t="s">
        <v>20</v>
      </c>
      <c r="I9" t="s">
        <v>24</v>
      </c>
      <c r="J9" t="s">
        <v>28</v>
      </c>
      <c r="K9" t="s">
        <v>16</v>
      </c>
      <c r="L9">
        <v>7</v>
      </c>
      <c r="M9">
        <v>7</v>
      </c>
      <c r="N9" t="str">
        <f>IF(Table1[[#This Row],[BMI]]&lt;18.5,"Underweight",IF(Table1[BMI]&gt;30,"Obese","Normal"))</f>
        <v>Obese</v>
      </c>
      <c r="O9" t="str">
        <f>IF(Table1[[#This Row],[Stress_Level]]&gt;7,"High","Normal")</f>
        <v>Normal</v>
      </c>
      <c r="P9" t="str">
        <f>IF(OR(Table1[[#This Row],[Diet_Quality]]="Poor",Table1[[#This Row],[Exercise_Freq]]="None"),"At Risk","Healthly")</f>
        <v>Healthly</v>
      </c>
      <c r="Q9" s="2" t="str">
        <f>IF(Table1[[#This Row],[Age]]&lt;=30,"18-30",IF(Table1[[#This Row],[Age]]&lt;=45,"31-45",IF(Table1[[#This Row],[Age]]&lt;=60,"46-60","60+")))</f>
        <v>31-45</v>
      </c>
      <c r="R9">
        <f>AVERAGE(Table1[Sleep_Hours])</f>
        <v>6.533333333333335</v>
      </c>
    </row>
    <row r="10" spans="1:18" x14ac:dyDescent="0.25">
      <c r="A10">
        <v>9</v>
      </c>
      <c r="B10">
        <v>38</v>
      </c>
      <c r="C10" t="s">
        <v>13</v>
      </c>
      <c r="D10">
        <v>162</v>
      </c>
      <c r="E10">
        <v>77.400000000000006</v>
      </c>
      <c r="F10">
        <v>29.5</v>
      </c>
      <c r="G10" t="s">
        <v>17</v>
      </c>
      <c r="H10" t="s">
        <v>19</v>
      </c>
      <c r="I10" t="s">
        <v>24</v>
      </c>
      <c r="J10" t="s">
        <v>29</v>
      </c>
      <c r="K10" t="s">
        <v>16</v>
      </c>
      <c r="L10">
        <v>1</v>
      </c>
      <c r="M10">
        <v>5.6</v>
      </c>
      <c r="N10" t="str">
        <f>IF(Table1[[#This Row],[BMI]]&lt;18.5,"Underweight",IF(Table1[BMI]&gt;30,"Obese","Normal"))</f>
        <v>Normal</v>
      </c>
      <c r="O10" t="str">
        <f>IF(Table1[[#This Row],[Stress_Level]]&gt;7,"High","Normal")</f>
        <v>Normal</v>
      </c>
      <c r="P10" t="str">
        <f>IF(OR(Table1[[#This Row],[Diet_Quality]]="Poor",Table1[[#This Row],[Exercise_Freq]]="None"),"At Risk","Healthly")</f>
        <v>Healthly</v>
      </c>
      <c r="Q10" s="2" t="str">
        <f>IF(Table1[[#This Row],[Age]]&lt;=30,"18-30",IF(Table1[[#This Row],[Age]]&lt;=45,"31-45",IF(Table1[[#This Row],[Age]]&lt;=60,"46-60","60+")))</f>
        <v>31-45</v>
      </c>
    </row>
    <row r="11" spans="1:18" x14ac:dyDescent="0.25">
      <c r="A11">
        <v>10</v>
      </c>
      <c r="B11">
        <v>28</v>
      </c>
      <c r="C11" t="s">
        <v>15</v>
      </c>
      <c r="D11">
        <v>195.7</v>
      </c>
      <c r="E11">
        <v>82.8</v>
      </c>
      <c r="F11">
        <v>21.6</v>
      </c>
      <c r="G11" t="s">
        <v>17</v>
      </c>
      <c r="H11" t="s">
        <v>21</v>
      </c>
      <c r="I11" t="s">
        <v>27</v>
      </c>
      <c r="J11" t="s">
        <v>28</v>
      </c>
      <c r="K11" t="s">
        <v>17</v>
      </c>
      <c r="L11">
        <v>10</v>
      </c>
      <c r="M11">
        <v>7.7</v>
      </c>
      <c r="N11" t="str">
        <f>IF(Table1[[#This Row],[BMI]]&lt;18.5,"Underweight",IF(Table1[BMI]&gt;30,"Obese","Normal"))</f>
        <v>Normal</v>
      </c>
      <c r="O11" t="str">
        <f>IF(Table1[[#This Row],[Stress_Level]]&gt;7,"High","Normal")</f>
        <v>High</v>
      </c>
      <c r="P11" t="str">
        <f>IF(OR(Table1[[#This Row],[Diet_Quality]]="Poor",Table1[[#This Row],[Exercise_Freq]]="None"),"At Risk","Healthly")</f>
        <v>Healthly</v>
      </c>
      <c r="Q11" s="2" t="str">
        <f>IF(Table1[[#This Row],[Age]]&lt;=30,"18-30",IF(Table1[[#This Row],[Age]]&lt;=45,"31-45",IF(Table1[[#This Row],[Age]]&lt;=60,"46-60","60+")))</f>
        <v>18-30</v>
      </c>
    </row>
    <row r="12" spans="1:18" x14ac:dyDescent="0.25">
      <c r="A12">
        <v>11</v>
      </c>
      <c r="B12">
        <v>34</v>
      </c>
      <c r="C12" t="s">
        <v>14</v>
      </c>
      <c r="D12">
        <v>169.8</v>
      </c>
      <c r="E12">
        <v>78</v>
      </c>
      <c r="F12">
        <v>27.1</v>
      </c>
      <c r="G12" t="s">
        <v>17</v>
      </c>
      <c r="H12" t="s">
        <v>19</v>
      </c>
      <c r="I12" t="s">
        <v>24</v>
      </c>
      <c r="J12" t="s">
        <v>26</v>
      </c>
      <c r="K12" t="s">
        <v>16</v>
      </c>
      <c r="L12">
        <v>6</v>
      </c>
      <c r="M12">
        <v>7.2</v>
      </c>
      <c r="N12" t="str">
        <f>IF(Table1[[#This Row],[BMI]]&lt;18.5,"Underweight",IF(Table1[BMI]&gt;30,"Obese","Normal"))</f>
        <v>Normal</v>
      </c>
      <c r="O12" t="str">
        <f>IF(Table1[[#This Row],[Stress_Level]]&gt;7,"High","Normal")</f>
        <v>Normal</v>
      </c>
      <c r="P12" t="str">
        <f>IF(OR(Table1[[#This Row],[Diet_Quality]]="Poor",Table1[[#This Row],[Exercise_Freq]]="None"),"At Risk","Healthly")</f>
        <v>Healthly</v>
      </c>
      <c r="Q12" s="2" t="str">
        <f>IF(Table1[[#This Row],[Age]]&lt;=30,"18-30",IF(Table1[[#This Row],[Age]]&lt;=45,"31-45",IF(Table1[[#This Row],[Age]]&lt;=60,"46-60","60+")))</f>
        <v>31-45</v>
      </c>
    </row>
    <row r="13" spans="1:18" x14ac:dyDescent="0.25">
      <c r="A13">
        <v>12</v>
      </c>
      <c r="B13">
        <v>53</v>
      </c>
      <c r="C13" t="s">
        <v>15</v>
      </c>
      <c r="D13">
        <v>171.1</v>
      </c>
      <c r="E13">
        <v>78</v>
      </c>
      <c r="F13">
        <v>23.9</v>
      </c>
      <c r="G13" t="s">
        <v>17</v>
      </c>
      <c r="H13" t="s">
        <v>18</v>
      </c>
      <c r="I13" t="s">
        <v>25</v>
      </c>
      <c r="J13" t="s">
        <v>29</v>
      </c>
      <c r="K13" t="s">
        <v>17</v>
      </c>
      <c r="L13">
        <v>6</v>
      </c>
      <c r="M13">
        <v>6.9</v>
      </c>
      <c r="N13" t="str">
        <f>IF(Table1[[#This Row],[BMI]]&lt;18.5,"Underweight",IF(Table1[BMI]&gt;30,"Obese","Normal"))</f>
        <v>Normal</v>
      </c>
      <c r="O13" t="str">
        <f>IF(Table1[[#This Row],[Stress_Level]]&gt;7,"High","Normal")</f>
        <v>Normal</v>
      </c>
      <c r="P13" t="str">
        <f>IF(OR(Table1[[#This Row],[Diet_Quality]]="Poor",Table1[[#This Row],[Exercise_Freq]]="None"),"At Risk","Healthly")</f>
        <v>At Risk</v>
      </c>
      <c r="Q13" s="2" t="str">
        <f>IF(Table1[[#This Row],[Age]]&lt;=30,"18-30",IF(Table1[[#This Row],[Age]]&lt;=45,"31-45",IF(Table1[[#This Row],[Age]]&lt;=60,"46-60","60+")))</f>
        <v>46-60</v>
      </c>
    </row>
    <row r="14" spans="1:18" x14ac:dyDescent="0.25">
      <c r="A14">
        <v>13</v>
      </c>
      <c r="B14">
        <v>41</v>
      </c>
      <c r="C14" t="s">
        <v>13</v>
      </c>
      <c r="D14">
        <v>162.30000000000001</v>
      </c>
      <c r="E14">
        <v>57</v>
      </c>
      <c r="F14">
        <v>21.7</v>
      </c>
      <c r="G14" t="s">
        <v>17</v>
      </c>
      <c r="H14" t="s">
        <v>20</v>
      </c>
      <c r="I14" t="s">
        <v>23</v>
      </c>
      <c r="J14" t="s">
        <v>28</v>
      </c>
      <c r="K14" t="s">
        <v>17</v>
      </c>
      <c r="L14">
        <v>9</v>
      </c>
      <c r="M14">
        <v>4.7</v>
      </c>
      <c r="N14" t="str">
        <f>IF(Table1[[#This Row],[BMI]]&lt;18.5,"Underweight",IF(Table1[BMI]&gt;30,"Obese","Normal"))</f>
        <v>Normal</v>
      </c>
      <c r="O14" t="str">
        <f>IF(Table1[[#This Row],[Stress_Level]]&gt;7,"High","Normal")</f>
        <v>High</v>
      </c>
      <c r="P14" t="str">
        <f>IF(OR(Table1[[#This Row],[Diet_Quality]]="Poor",Table1[[#This Row],[Exercise_Freq]]="None"),"At Risk","Healthly")</f>
        <v>At Risk</v>
      </c>
      <c r="Q14" s="2" t="str">
        <f>IF(Table1[[#This Row],[Age]]&lt;=30,"18-30",IF(Table1[[#This Row],[Age]]&lt;=45,"31-45",IF(Table1[[#This Row],[Age]]&lt;=60,"46-60","60+")))</f>
        <v>31-45</v>
      </c>
    </row>
    <row r="15" spans="1:18" x14ac:dyDescent="0.25">
      <c r="A15">
        <v>14</v>
      </c>
      <c r="B15">
        <v>20</v>
      </c>
      <c r="C15" t="s">
        <v>14</v>
      </c>
      <c r="D15">
        <v>172.9</v>
      </c>
      <c r="E15">
        <v>71.5</v>
      </c>
      <c r="F15">
        <v>25</v>
      </c>
      <c r="G15" t="s">
        <v>17</v>
      </c>
      <c r="H15" t="s">
        <v>21</v>
      </c>
      <c r="I15" t="s">
        <v>27</v>
      </c>
      <c r="J15" t="s">
        <v>26</v>
      </c>
      <c r="K15" t="s">
        <v>17</v>
      </c>
      <c r="L15">
        <v>2</v>
      </c>
      <c r="M15">
        <v>7.8</v>
      </c>
      <c r="N15" t="str">
        <f>IF(Table1[[#This Row],[BMI]]&lt;18.5,"Underweight",IF(Table1[BMI]&gt;30,"Obese","Normal"))</f>
        <v>Normal</v>
      </c>
      <c r="O15" t="str">
        <f>IF(Table1[[#This Row],[Stress_Level]]&gt;7,"High","Normal")</f>
        <v>Normal</v>
      </c>
      <c r="P15" t="str">
        <f>IF(OR(Table1[[#This Row],[Diet_Quality]]="Poor",Table1[[#This Row],[Exercise_Freq]]="None"),"At Risk","Healthly")</f>
        <v>Healthly</v>
      </c>
      <c r="Q15" s="2" t="str">
        <f>IF(Table1[[#This Row],[Age]]&lt;=30,"18-30",IF(Table1[[#This Row],[Age]]&lt;=45,"31-45",IF(Table1[[#This Row],[Age]]&lt;=60,"46-60","60+")))</f>
        <v>18-30</v>
      </c>
    </row>
    <row r="16" spans="1:18" x14ac:dyDescent="0.25">
      <c r="A16">
        <v>15</v>
      </c>
      <c r="B16">
        <v>39</v>
      </c>
      <c r="C16" t="s">
        <v>13</v>
      </c>
      <c r="D16">
        <v>161.69999999999999</v>
      </c>
      <c r="E16">
        <v>81.599999999999994</v>
      </c>
      <c r="F16">
        <v>31.2</v>
      </c>
      <c r="G16" t="s">
        <v>17</v>
      </c>
      <c r="H16" t="s">
        <v>18</v>
      </c>
      <c r="I16" t="s">
        <v>27</v>
      </c>
      <c r="J16" t="s">
        <v>18</v>
      </c>
      <c r="K16" t="s">
        <v>16</v>
      </c>
      <c r="L16">
        <v>3</v>
      </c>
      <c r="M16">
        <v>5.4</v>
      </c>
      <c r="N16" t="str">
        <f>IF(Table1[[#This Row],[BMI]]&lt;18.5,"Underweight",IF(Table1[BMI]&gt;30,"Obese","Normal"))</f>
        <v>Obese</v>
      </c>
      <c r="O16" t="str">
        <f>IF(Table1[[#This Row],[Stress_Level]]&gt;7,"High","Normal")</f>
        <v>Normal</v>
      </c>
      <c r="P16" t="str">
        <f>IF(OR(Table1[[#This Row],[Diet_Quality]]="Poor",Table1[[#This Row],[Exercise_Freq]]="None"),"At Risk","Healthly")</f>
        <v>At Risk</v>
      </c>
      <c r="Q16" s="2" t="str">
        <f>IF(Table1[[#This Row],[Age]]&lt;=30,"18-30",IF(Table1[[#This Row],[Age]]&lt;=45,"31-45",IF(Table1[[#This Row],[Age]]&lt;=60,"46-60","60+")))</f>
        <v>31-45</v>
      </c>
    </row>
    <row r="17" spans="1:17" x14ac:dyDescent="0.25">
      <c r="A17">
        <v>16</v>
      </c>
      <c r="B17">
        <v>19</v>
      </c>
      <c r="C17" t="s">
        <v>14</v>
      </c>
      <c r="D17">
        <v>158.4</v>
      </c>
      <c r="E17">
        <v>59</v>
      </c>
      <c r="F17">
        <v>23.5</v>
      </c>
      <c r="G17" t="s">
        <v>16</v>
      </c>
      <c r="H17" t="s">
        <v>18</v>
      </c>
      <c r="I17" t="s">
        <v>23</v>
      </c>
      <c r="J17" t="s">
        <v>29</v>
      </c>
      <c r="K17" t="s">
        <v>17</v>
      </c>
      <c r="L17">
        <v>10</v>
      </c>
      <c r="M17">
        <v>6.6</v>
      </c>
      <c r="N17" t="str">
        <f>IF(Table1[[#This Row],[BMI]]&lt;18.5,"Underweight",IF(Table1[BMI]&gt;30,"Obese","Normal"))</f>
        <v>Normal</v>
      </c>
      <c r="O17" t="str">
        <f>IF(Table1[[#This Row],[Stress_Level]]&gt;7,"High","Normal")</f>
        <v>High</v>
      </c>
      <c r="P17" t="str">
        <f>IF(OR(Table1[[#This Row],[Diet_Quality]]="Poor",Table1[[#This Row],[Exercise_Freq]]="None"),"At Risk","Healthly")</f>
        <v>At Risk</v>
      </c>
      <c r="Q17" s="2" t="str">
        <f>IF(Table1[[#This Row],[Age]]&lt;=30,"18-30",IF(Table1[[#This Row],[Age]]&lt;=45,"31-45",IF(Table1[[#This Row],[Age]]&lt;=60,"46-60","60+")))</f>
        <v>18-30</v>
      </c>
    </row>
    <row r="18" spans="1:17" x14ac:dyDescent="0.25">
      <c r="A18">
        <v>17</v>
      </c>
      <c r="B18">
        <v>41</v>
      </c>
      <c r="C18" t="s">
        <v>13</v>
      </c>
      <c r="D18">
        <v>149.69999999999999</v>
      </c>
      <c r="E18">
        <v>35.6</v>
      </c>
      <c r="F18">
        <v>15.9</v>
      </c>
      <c r="G18" t="s">
        <v>17</v>
      </c>
      <c r="H18" t="s">
        <v>20</v>
      </c>
      <c r="I18" t="s">
        <v>25</v>
      </c>
      <c r="J18" t="s">
        <v>26</v>
      </c>
      <c r="K18" t="s">
        <v>17</v>
      </c>
      <c r="L18">
        <v>6</v>
      </c>
      <c r="M18">
        <v>8.1999999999999993</v>
      </c>
      <c r="N18" t="str">
        <f>IF(Table1[[#This Row],[BMI]]&lt;18.5,"Underweight",IF(Table1[BMI]&gt;30,"Obese","Normal"))</f>
        <v>Underweight</v>
      </c>
      <c r="O18" t="str">
        <f>IF(Table1[[#This Row],[Stress_Level]]&gt;7,"High","Normal")</f>
        <v>Normal</v>
      </c>
      <c r="P18" t="str">
        <f>IF(OR(Table1[[#This Row],[Diet_Quality]]="Poor",Table1[[#This Row],[Exercise_Freq]]="None"),"At Risk","Healthly")</f>
        <v>Healthly</v>
      </c>
      <c r="Q18" s="2" t="str">
        <f>IF(Table1[[#This Row],[Age]]&lt;=30,"18-30",IF(Table1[[#This Row],[Age]]&lt;=45,"31-45",IF(Table1[[#This Row],[Age]]&lt;=60,"46-60","60+")))</f>
        <v>31-45</v>
      </c>
    </row>
    <row r="19" spans="1:17" x14ac:dyDescent="0.25">
      <c r="A19">
        <v>18</v>
      </c>
      <c r="B19">
        <v>44</v>
      </c>
      <c r="C19" t="s">
        <v>15</v>
      </c>
      <c r="D19">
        <v>171.9</v>
      </c>
      <c r="E19">
        <v>82</v>
      </c>
      <c r="F19">
        <v>27.8</v>
      </c>
      <c r="G19" t="s">
        <v>16</v>
      </c>
      <c r="H19" t="s">
        <v>22</v>
      </c>
      <c r="I19" t="s">
        <v>27</v>
      </c>
      <c r="J19" t="s">
        <v>28</v>
      </c>
      <c r="K19" t="s">
        <v>16</v>
      </c>
      <c r="L19">
        <v>8</v>
      </c>
      <c r="M19">
        <v>6.4</v>
      </c>
      <c r="N19" t="str">
        <f>IF(Table1[[#This Row],[BMI]]&lt;18.5,"Underweight",IF(Table1[BMI]&gt;30,"Obese","Normal"))</f>
        <v>Normal</v>
      </c>
      <c r="O19" t="str">
        <f>IF(Table1[[#This Row],[Stress_Level]]&gt;7,"High","Normal")</f>
        <v>High</v>
      </c>
      <c r="P19" t="str">
        <f>IF(OR(Table1[[#This Row],[Diet_Quality]]="Poor",Table1[[#This Row],[Exercise_Freq]]="None"),"At Risk","Healthly")</f>
        <v>Healthly</v>
      </c>
      <c r="Q19" s="2" t="str">
        <f>IF(Table1[[#This Row],[Age]]&lt;=30,"18-30",IF(Table1[[#This Row],[Age]]&lt;=45,"31-45",IF(Table1[[#This Row],[Age]]&lt;=60,"46-60","60+")))</f>
        <v>31-45</v>
      </c>
    </row>
    <row r="20" spans="1:17" x14ac:dyDescent="0.25">
      <c r="A20">
        <v>19</v>
      </c>
      <c r="B20">
        <v>30</v>
      </c>
      <c r="C20" t="s">
        <v>14</v>
      </c>
      <c r="D20">
        <v>168.2</v>
      </c>
      <c r="E20">
        <v>59.1</v>
      </c>
      <c r="F20">
        <v>20.9</v>
      </c>
      <c r="G20" t="s">
        <v>17</v>
      </c>
      <c r="H20" t="s">
        <v>20</v>
      </c>
      <c r="I20" t="s">
        <v>25</v>
      </c>
      <c r="J20" t="s">
        <v>29</v>
      </c>
      <c r="K20" t="s">
        <v>17</v>
      </c>
      <c r="L20">
        <v>5</v>
      </c>
      <c r="M20">
        <v>7.1</v>
      </c>
      <c r="N20" t="str">
        <f>IF(Table1[[#This Row],[BMI]]&lt;18.5,"Underweight",IF(Table1[BMI]&gt;30,"Obese","Normal"))</f>
        <v>Normal</v>
      </c>
      <c r="O20" t="str">
        <f>IF(Table1[[#This Row],[Stress_Level]]&gt;7,"High","Normal")</f>
        <v>Normal</v>
      </c>
      <c r="P20" t="str">
        <f>IF(OR(Table1[[#This Row],[Diet_Quality]]="Poor",Table1[[#This Row],[Exercise_Freq]]="None"),"At Risk","Healthly")</f>
        <v>Healthly</v>
      </c>
      <c r="Q20" s="2" t="str">
        <f>IF(Table1[[#This Row],[Age]]&lt;=30,"18-30",IF(Table1[[#This Row],[Age]]&lt;=45,"31-45",IF(Table1[[#This Row],[Age]]&lt;=60,"46-60","60+")))</f>
        <v>18-30</v>
      </c>
    </row>
    <row r="21" spans="1:17" x14ac:dyDescent="0.25">
      <c r="A21">
        <v>20</v>
      </c>
      <c r="B21">
        <v>55</v>
      </c>
      <c r="C21" t="s">
        <v>15</v>
      </c>
      <c r="D21">
        <v>174.4</v>
      </c>
      <c r="E21">
        <v>90.3</v>
      </c>
      <c r="F21">
        <v>29.7</v>
      </c>
      <c r="G21" t="s">
        <v>16</v>
      </c>
      <c r="H21" t="s">
        <v>22</v>
      </c>
      <c r="I21" t="s">
        <v>23</v>
      </c>
      <c r="J21" t="s">
        <v>26</v>
      </c>
      <c r="K21" t="s">
        <v>16</v>
      </c>
      <c r="L21">
        <v>7</v>
      </c>
      <c r="M21">
        <v>5</v>
      </c>
      <c r="N21" t="str">
        <f>IF(Table1[[#This Row],[BMI]]&lt;18.5,"Underweight",IF(Table1[BMI]&gt;30,"Obese","Normal"))</f>
        <v>Normal</v>
      </c>
      <c r="O21" t="str">
        <f>IF(Table1[[#This Row],[Stress_Level]]&gt;7,"High","Normal")</f>
        <v>Normal</v>
      </c>
      <c r="P21" t="str">
        <f>IF(OR(Table1[[#This Row],[Diet_Quality]]="Poor",Table1[[#This Row],[Exercise_Freq]]="None"),"At Risk","Healthly")</f>
        <v>At Risk</v>
      </c>
      <c r="Q21" s="2" t="str">
        <f>IF(Table1[[#This Row],[Age]]&lt;=30,"18-30",IF(Table1[[#This Row],[Age]]&lt;=45,"31-45",IF(Table1[[#This Row],[Age]]&lt;=60,"46-60","60+")))</f>
        <v>46-60</v>
      </c>
    </row>
    <row r="22" spans="1:17" x14ac:dyDescent="0.25">
      <c r="A22">
        <v>21</v>
      </c>
      <c r="B22">
        <v>27</v>
      </c>
      <c r="C22" t="s">
        <v>15</v>
      </c>
      <c r="D22">
        <v>182.1</v>
      </c>
      <c r="E22">
        <v>88.2</v>
      </c>
      <c r="F22">
        <v>26.6</v>
      </c>
      <c r="G22" t="s">
        <v>17</v>
      </c>
      <c r="H22" t="s">
        <v>21</v>
      </c>
      <c r="I22" t="s">
        <v>24</v>
      </c>
      <c r="J22" t="s">
        <v>28</v>
      </c>
      <c r="K22" t="s">
        <v>17</v>
      </c>
      <c r="L22">
        <v>4</v>
      </c>
      <c r="M22">
        <v>7.3</v>
      </c>
      <c r="N22" t="str">
        <f>IF(Table1[[#This Row],[BMI]]&lt;18.5,"Underweight",IF(Table1[BMI]&gt;30,"Obese","Normal"))</f>
        <v>Normal</v>
      </c>
      <c r="O22" t="str">
        <f>IF(Table1[[#This Row],[Stress_Level]]&gt;7,"High","Normal")</f>
        <v>Normal</v>
      </c>
      <c r="P22" t="str">
        <f>IF(OR(Table1[[#This Row],[Diet_Quality]]="Poor",Table1[[#This Row],[Exercise_Freq]]="None"),"At Risk","Healthly")</f>
        <v>Healthly</v>
      </c>
      <c r="Q22" s="2" t="str">
        <f>IF(Table1[[#This Row],[Age]]&lt;=30,"18-30",IF(Table1[[#This Row],[Age]]&lt;=45,"31-45",IF(Table1[[#This Row],[Age]]&lt;=60,"46-60","60+")))</f>
        <v>18-30</v>
      </c>
    </row>
    <row r="23" spans="1:17" x14ac:dyDescent="0.25">
      <c r="A23">
        <v>22</v>
      </c>
      <c r="B23">
        <v>49</v>
      </c>
      <c r="C23" t="s">
        <v>14</v>
      </c>
      <c r="D23">
        <v>160.30000000000001</v>
      </c>
      <c r="E23">
        <v>55.7</v>
      </c>
      <c r="F23">
        <v>21.7</v>
      </c>
      <c r="G23" t="s">
        <v>17</v>
      </c>
      <c r="H23" t="s">
        <v>20</v>
      </c>
      <c r="I23" t="s">
        <v>27</v>
      </c>
      <c r="J23" t="s">
        <v>29</v>
      </c>
      <c r="K23" t="s">
        <v>16</v>
      </c>
      <c r="L23">
        <v>6</v>
      </c>
      <c r="M23">
        <v>6.9</v>
      </c>
      <c r="N23" t="str">
        <f>IF(Table1[[#This Row],[BMI]]&lt;18.5,"Underweight",IF(Table1[BMI]&gt;30,"Obese","Normal"))</f>
        <v>Normal</v>
      </c>
      <c r="O23" t="str">
        <f>IF(Table1[[#This Row],[Stress_Level]]&gt;7,"High","Normal")</f>
        <v>Normal</v>
      </c>
      <c r="P23" t="str">
        <f>IF(OR(Table1[[#This Row],[Diet_Quality]]="Poor",Table1[[#This Row],[Exercise_Freq]]="None"),"At Risk","Healthly")</f>
        <v>Healthly</v>
      </c>
      <c r="Q23" s="2" t="str">
        <f>IF(Table1[[#This Row],[Age]]&lt;=30,"18-30",IF(Table1[[#This Row],[Age]]&lt;=45,"31-45",IF(Table1[[#This Row],[Age]]&lt;=60,"46-60","60+")))</f>
        <v>46-60</v>
      </c>
    </row>
    <row r="24" spans="1:17" x14ac:dyDescent="0.25">
      <c r="A24">
        <v>23</v>
      </c>
      <c r="B24">
        <v>62</v>
      </c>
      <c r="C24" t="s">
        <v>13</v>
      </c>
      <c r="D24">
        <v>170.5</v>
      </c>
      <c r="E24">
        <v>73.400000000000006</v>
      </c>
      <c r="F24">
        <v>25.3</v>
      </c>
      <c r="G24" t="s">
        <v>16</v>
      </c>
      <c r="H24" t="s">
        <v>18</v>
      </c>
      <c r="I24" t="s">
        <v>25</v>
      </c>
      <c r="J24" t="s">
        <v>26</v>
      </c>
      <c r="K24" t="s">
        <v>17</v>
      </c>
      <c r="L24">
        <v>8</v>
      </c>
      <c r="M24">
        <v>5.8</v>
      </c>
      <c r="N24" t="str">
        <f>IF(Table1[[#This Row],[BMI]]&lt;18.5,"Underweight",IF(Table1[BMI]&gt;30,"Obese","Normal"))</f>
        <v>Normal</v>
      </c>
      <c r="O24" t="str">
        <f>IF(Table1[[#This Row],[Stress_Level]]&gt;7,"High","Normal")</f>
        <v>High</v>
      </c>
      <c r="P24" t="str">
        <f>IF(OR(Table1[[#This Row],[Diet_Quality]]="Poor",Table1[[#This Row],[Exercise_Freq]]="None"),"At Risk","Healthly")</f>
        <v>At Risk</v>
      </c>
      <c r="Q24" s="2" t="str">
        <f>IF(Table1[[#This Row],[Age]]&lt;=30,"18-30",IF(Table1[[#This Row],[Age]]&lt;=45,"31-45",IF(Table1[[#This Row],[Age]]&lt;=60,"46-60","60+")))</f>
        <v>60+</v>
      </c>
    </row>
    <row r="25" spans="1:17" x14ac:dyDescent="0.25">
      <c r="A25">
        <v>24</v>
      </c>
      <c r="B25">
        <v>31</v>
      </c>
      <c r="C25" t="s">
        <v>15</v>
      </c>
      <c r="D25">
        <v>175.6</v>
      </c>
      <c r="E25">
        <v>69.8</v>
      </c>
      <c r="F25">
        <v>22.7</v>
      </c>
      <c r="G25" t="s">
        <v>17</v>
      </c>
      <c r="H25" t="s">
        <v>22</v>
      </c>
      <c r="I25" t="s">
        <v>23</v>
      </c>
      <c r="J25" t="s">
        <v>18</v>
      </c>
      <c r="K25" t="s">
        <v>17</v>
      </c>
      <c r="L25">
        <v>3</v>
      </c>
      <c r="M25">
        <v>7.4</v>
      </c>
      <c r="N25" t="str">
        <f>IF(Table1[[#This Row],[BMI]]&lt;18.5,"Underweight",IF(Table1[BMI]&gt;30,"Obese","Normal"))</f>
        <v>Normal</v>
      </c>
      <c r="O25" t="str">
        <f>IF(Table1[[#This Row],[Stress_Level]]&gt;7,"High","Normal")</f>
        <v>Normal</v>
      </c>
      <c r="P25" t="str">
        <f>IF(OR(Table1[[#This Row],[Diet_Quality]]="Poor",Table1[[#This Row],[Exercise_Freq]]="None"),"At Risk","Healthly")</f>
        <v>At Risk</v>
      </c>
      <c r="Q25" s="2" t="str">
        <f>IF(Table1[[#This Row],[Age]]&lt;=30,"18-30",IF(Table1[[#This Row],[Age]]&lt;=45,"31-45",IF(Table1[[#This Row],[Age]]&lt;=60,"46-60","60+")))</f>
        <v>31-45</v>
      </c>
    </row>
    <row r="26" spans="1:17" x14ac:dyDescent="0.25">
      <c r="A26">
        <v>25</v>
      </c>
      <c r="B26">
        <v>22</v>
      </c>
      <c r="C26" t="s">
        <v>14</v>
      </c>
      <c r="D26">
        <v>154.19999999999999</v>
      </c>
      <c r="E26">
        <v>50.3</v>
      </c>
      <c r="F26">
        <v>21.1</v>
      </c>
      <c r="G26" t="s">
        <v>17</v>
      </c>
      <c r="H26" t="s">
        <v>19</v>
      </c>
      <c r="I26" t="s">
        <v>24</v>
      </c>
      <c r="J26" t="s">
        <v>28</v>
      </c>
      <c r="K26" t="s">
        <v>16</v>
      </c>
      <c r="L26">
        <v>2</v>
      </c>
      <c r="M26">
        <v>8.1</v>
      </c>
      <c r="N26" t="str">
        <f>IF(Table1[[#This Row],[BMI]]&lt;18.5,"Underweight",IF(Table1[BMI]&gt;30,"Obese","Normal"))</f>
        <v>Normal</v>
      </c>
      <c r="O26" t="str">
        <f>IF(Table1[[#This Row],[Stress_Level]]&gt;7,"High","Normal")</f>
        <v>Normal</v>
      </c>
      <c r="P26" t="str">
        <f>IF(OR(Table1[[#This Row],[Diet_Quality]]="Poor",Table1[[#This Row],[Exercise_Freq]]="None"),"At Risk","Healthly")</f>
        <v>Healthly</v>
      </c>
      <c r="Q26" s="2" t="str">
        <f>IF(Table1[[#This Row],[Age]]&lt;=30,"18-30",IF(Table1[[#This Row],[Age]]&lt;=45,"31-45",IF(Table1[[#This Row],[Age]]&lt;=60,"46-60","60+")))</f>
        <v>18-30</v>
      </c>
    </row>
    <row r="27" spans="1:17" x14ac:dyDescent="0.25">
      <c r="A27">
        <v>26</v>
      </c>
      <c r="B27">
        <v>48</v>
      </c>
      <c r="C27" t="s">
        <v>13</v>
      </c>
      <c r="D27">
        <v>168.8</v>
      </c>
      <c r="E27">
        <v>75.099999999999994</v>
      </c>
      <c r="F27">
        <v>26.3</v>
      </c>
      <c r="G27" t="s">
        <v>16</v>
      </c>
      <c r="H27" t="s">
        <v>20</v>
      </c>
      <c r="I27" t="s">
        <v>26</v>
      </c>
      <c r="J27" t="s">
        <v>26</v>
      </c>
      <c r="K27" t="s">
        <v>17</v>
      </c>
      <c r="L27">
        <v>7</v>
      </c>
      <c r="M27">
        <v>6.2</v>
      </c>
      <c r="N27" t="str">
        <f>IF(Table1[[#This Row],[BMI]]&lt;18.5,"Underweight",IF(Table1[BMI]&gt;30,"Obese","Normal"))</f>
        <v>Normal</v>
      </c>
      <c r="O27" t="str">
        <f>IF(Table1[[#This Row],[Stress_Level]]&gt;7,"High","Normal")</f>
        <v>Normal</v>
      </c>
      <c r="P27" t="str">
        <f>IF(OR(Table1[[#This Row],[Diet_Quality]]="Poor",Table1[[#This Row],[Exercise_Freq]]="None"),"At Risk","Healthly")</f>
        <v>Healthly</v>
      </c>
      <c r="Q27" s="2" t="str">
        <f>IF(Table1[[#This Row],[Age]]&lt;=30,"18-30",IF(Table1[[#This Row],[Age]]&lt;=45,"31-45",IF(Table1[[#This Row],[Age]]&lt;=60,"46-60","60+")))</f>
        <v>46-60</v>
      </c>
    </row>
    <row r="28" spans="1:17" x14ac:dyDescent="0.25">
      <c r="A28">
        <v>27</v>
      </c>
      <c r="B28">
        <v>35</v>
      </c>
      <c r="C28" t="s">
        <v>14</v>
      </c>
      <c r="D28">
        <v>162.69999999999999</v>
      </c>
      <c r="E28">
        <v>80.599999999999994</v>
      </c>
      <c r="F28">
        <v>30.5</v>
      </c>
      <c r="G28" t="s">
        <v>17</v>
      </c>
      <c r="H28" t="s">
        <v>21</v>
      </c>
      <c r="I28" t="s">
        <v>25</v>
      </c>
      <c r="J28" t="s">
        <v>29</v>
      </c>
      <c r="K28" t="s">
        <v>16</v>
      </c>
      <c r="L28">
        <v>5</v>
      </c>
      <c r="M28">
        <v>5.5</v>
      </c>
      <c r="N28" t="str">
        <f>IF(Table1[[#This Row],[BMI]]&lt;18.5,"Underweight",IF(Table1[BMI]&gt;30,"Obese","Normal"))</f>
        <v>Obese</v>
      </c>
      <c r="O28" t="str">
        <f>IF(Table1[[#This Row],[Stress_Level]]&gt;7,"High","Normal")</f>
        <v>Normal</v>
      </c>
      <c r="P28" t="str">
        <f>IF(OR(Table1[[#This Row],[Diet_Quality]]="Poor",Table1[[#This Row],[Exercise_Freq]]="None"),"At Risk","Healthly")</f>
        <v>Healthly</v>
      </c>
      <c r="Q28" s="2" t="str">
        <f>IF(Table1[[#This Row],[Age]]&lt;=30,"18-30",IF(Table1[[#This Row],[Age]]&lt;=45,"31-45",IF(Table1[[#This Row],[Age]]&lt;=60,"46-60","60+")))</f>
        <v>31-45</v>
      </c>
    </row>
    <row r="29" spans="1:17" x14ac:dyDescent="0.25">
      <c r="A29">
        <v>28</v>
      </c>
      <c r="B29">
        <v>59</v>
      </c>
      <c r="C29" t="s">
        <v>15</v>
      </c>
      <c r="D29">
        <v>180.4</v>
      </c>
      <c r="E29">
        <v>92.3</v>
      </c>
      <c r="F29">
        <v>28.4</v>
      </c>
      <c r="G29" t="s">
        <v>16</v>
      </c>
      <c r="H29" t="s">
        <v>18</v>
      </c>
      <c r="I29" t="s">
        <v>27</v>
      </c>
      <c r="J29" t="s">
        <v>28</v>
      </c>
      <c r="K29" t="s">
        <v>17</v>
      </c>
      <c r="L29">
        <v>9</v>
      </c>
      <c r="M29">
        <v>7</v>
      </c>
      <c r="N29" t="str">
        <f>IF(Table1[[#This Row],[BMI]]&lt;18.5,"Underweight",IF(Table1[BMI]&gt;30,"Obese","Normal"))</f>
        <v>Normal</v>
      </c>
      <c r="O29" t="str">
        <f>IF(Table1[[#This Row],[Stress_Level]]&gt;7,"High","Normal")</f>
        <v>High</v>
      </c>
      <c r="P29" t="str">
        <f>IF(OR(Table1[[#This Row],[Diet_Quality]]="Poor",Table1[[#This Row],[Exercise_Freq]]="None"),"At Risk","Healthly")</f>
        <v>At Risk</v>
      </c>
      <c r="Q29" s="2" t="str">
        <f>IF(Table1[[#This Row],[Age]]&lt;=30,"18-30",IF(Table1[[#This Row],[Age]]&lt;=45,"31-45",IF(Table1[[#This Row],[Age]]&lt;=60,"46-60","60+")))</f>
        <v>46-60</v>
      </c>
    </row>
    <row r="30" spans="1:17" x14ac:dyDescent="0.25">
      <c r="A30">
        <v>29</v>
      </c>
      <c r="B30">
        <v>33</v>
      </c>
      <c r="C30" t="s">
        <v>14</v>
      </c>
      <c r="D30">
        <v>166.9</v>
      </c>
      <c r="E30">
        <v>66.2</v>
      </c>
      <c r="F30">
        <v>23.8</v>
      </c>
      <c r="G30" t="s">
        <v>17</v>
      </c>
      <c r="H30" t="s">
        <v>22</v>
      </c>
      <c r="I30" t="s">
        <v>23</v>
      </c>
      <c r="J30" t="s">
        <v>29</v>
      </c>
      <c r="K30" t="s">
        <v>16</v>
      </c>
      <c r="L30">
        <v>6</v>
      </c>
      <c r="M30">
        <v>6.8</v>
      </c>
      <c r="N30" t="str">
        <f>IF(Table1[[#This Row],[BMI]]&lt;18.5,"Underweight",IF(Table1[BMI]&gt;30,"Obese","Normal"))</f>
        <v>Normal</v>
      </c>
      <c r="O30" t="str">
        <f>IF(Table1[[#This Row],[Stress_Level]]&gt;7,"High","Normal")</f>
        <v>Normal</v>
      </c>
      <c r="P30" t="str">
        <f>IF(OR(Table1[[#This Row],[Diet_Quality]]="Poor",Table1[[#This Row],[Exercise_Freq]]="None"),"At Risk","Healthly")</f>
        <v>At Risk</v>
      </c>
      <c r="Q30" s="2" t="str">
        <f>IF(Table1[[#This Row],[Age]]&lt;=30,"18-30",IF(Table1[[#This Row],[Age]]&lt;=45,"31-45",IF(Table1[[#This Row],[Age]]&lt;=60,"46-60","60+")))</f>
        <v>31-45</v>
      </c>
    </row>
    <row r="31" spans="1:17" x14ac:dyDescent="0.25">
      <c r="A31">
        <v>30</v>
      </c>
      <c r="B31">
        <v>50</v>
      </c>
      <c r="C31" t="s">
        <v>15</v>
      </c>
      <c r="D31">
        <v>172.3</v>
      </c>
      <c r="E31">
        <v>74.5</v>
      </c>
      <c r="F31">
        <v>25.1</v>
      </c>
      <c r="G31" t="s">
        <v>16</v>
      </c>
      <c r="H31" t="s">
        <v>20</v>
      </c>
      <c r="I31" t="s">
        <v>24</v>
      </c>
      <c r="J31" t="s">
        <v>26</v>
      </c>
      <c r="K31" t="s">
        <v>17</v>
      </c>
      <c r="L31">
        <v>8</v>
      </c>
      <c r="M31">
        <v>5.9</v>
      </c>
      <c r="N31" t="str">
        <f>IF(Table1[[#This Row],[BMI]]&lt;18.5,"Underweight",IF(Table1[BMI]&gt;30,"Obese","Normal"))</f>
        <v>Normal</v>
      </c>
      <c r="O31" t="str">
        <f>IF(Table1[[#This Row],[Stress_Level]]&gt;7,"High","Normal")</f>
        <v>High</v>
      </c>
      <c r="P31" t="str">
        <f>IF(OR(Table1[[#This Row],[Diet_Quality]]="Poor",Table1[[#This Row],[Exercise_Freq]]="None"),"At Risk","Healthly")</f>
        <v>Healthly</v>
      </c>
      <c r="Q31" s="2" t="str">
        <f>IF(Table1[[#This Row],[Age]]&lt;=30,"18-30",IF(Table1[[#This Row],[Age]]&lt;=45,"31-45",IF(Table1[[#This Row],[Age]]&lt;=60,"46-60","60+")))</f>
        <v>46-60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BMI avg by gender &amp; age group</vt:lpstr>
      <vt:lpstr>Dashboard</vt:lpstr>
      <vt:lpstr>%Smoker</vt:lpstr>
      <vt:lpstr>Avg Sleep by diet quality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2025-12-03T16:08:38Z</dcterms:created>
  <dcterms:modified xsi:type="dcterms:W3CDTF">2026-02-13T10:26:44Z</dcterms:modified>
</cp:coreProperties>
</file>